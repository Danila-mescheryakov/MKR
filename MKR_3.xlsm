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0" yWindow="0" windowWidth="19200" windowHeight="11595"/>
  </bookViews>
  <sheets>
    <sheet name="Лист1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10" i="1"/>
  <c r="AT117"/>
  <c r="AT118"/>
  <c r="AT119" s="1"/>
  <c r="AT120" s="1"/>
  <c r="AT121" s="1"/>
  <c r="AT122" s="1"/>
  <c r="AT123" s="1"/>
  <c r="AT124" s="1"/>
  <c r="AT125" s="1"/>
  <c r="AT126" s="1"/>
  <c r="F86" l="1"/>
  <c r="F88" l="1"/>
  <c r="F89"/>
  <c r="F90" s="1"/>
  <c r="F91" s="1"/>
  <c r="F92" s="1"/>
  <c r="F93" s="1"/>
  <c r="F94" s="1"/>
  <c r="F95" s="1"/>
  <c r="F96" s="1"/>
  <c r="F97" s="1"/>
  <c r="F98" s="1"/>
  <c r="F99" s="1"/>
  <c r="F100" s="1"/>
  <c r="F101" s="1"/>
  <c r="F87"/>
  <c r="EE100" l="1"/>
  <c r="EE99"/>
  <c r="EE98" s="1"/>
  <c r="EE97" s="1"/>
  <c r="EE96" s="1"/>
  <c r="EE95" s="1"/>
  <c r="EE94" s="1"/>
  <c r="EE93" s="1"/>
  <c r="EE92" s="1"/>
  <c r="EE91" s="1"/>
  <c r="EE90" s="1"/>
  <c r="EE89" s="1"/>
  <c r="EE88" s="1"/>
  <c r="EE87" s="1"/>
  <c r="EE86" s="1"/>
  <c r="CO87"/>
  <c r="DO124"/>
  <c r="DO123" s="1"/>
  <c r="DO122" s="1"/>
  <c r="DO121" s="1"/>
  <c r="DO120" s="1"/>
  <c r="DO119" s="1"/>
  <c r="DO118" s="1"/>
  <c r="DO117" s="1"/>
  <c r="DO116" s="1"/>
  <c r="DQ124"/>
  <c r="DQ123" s="1"/>
  <c r="DQ122" s="1"/>
  <c r="DQ121" s="1"/>
  <c r="DQ120" s="1"/>
  <c r="DQ119" s="1"/>
  <c r="DQ118" s="1"/>
  <c r="DQ117" s="1"/>
  <c r="DQ116" s="1"/>
  <c r="DS124"/>
  <c r="DS123" s="1"/>
  <c r="DS122" s="1"/>
  <c r="DS121" s="1"/>
  <c r="DS120" s="1"/>
  <c r="DS119" s="1"/>
  <c r="DS118" s="1"/>
  <c r="DS117" s="1"/>
  <c r="DS116" s="1"/>
  <c r="DU124"/>
  <c r="DU123" s="1"/>
  <c r="DU122" s="1"/>
  <c r="DU121" s="1"/>
  <c r="DU120" s="1"/>
  <c r="DU119" s="1"/>
  <c r="DU118" s="1"/>
  <c r="DU117" s="1"/>
  <c r="DU116" s="1"/>
  <c r="DW124"/>
  <c r="DW123" s="1"/>
  <c r="DW122" s="1"/>
  <c r="DW121" s="1"/>
  <c r="DW120" s="1"/>
  <c r="DW119" s="1"/>
  <c r="DW118" s="1"/>
  <c r="DW117" s="1"/>
  <c r="DW116" s="1"/>
  <c r="DY124"/>
  <c r="DY123" s="1"/>
  <c r="DY122" s="1"/>
  <c r="DY121" s="1"/>
  <c r="DY120" s="1"/>
  <c r="DY119" s="1"/>
  <c r="DY118" s="1"/>
  <c r="DY117" s="1"/>
  <c r="DY116" s="1"/>
  <c r="EA124"/>
  <c r="EA123" s="1"/>
  <c r="EA122" s="1"/>
  <c r="EA121" s="1"/>
  <c r="EA120" s="1"/>
  <c r="EA119" s="1"/>
  <c r="EA118" s="1"/>
  <c r="EA117" s="1"/>
  <c r="EA116" s="1"/>
  <c r="DN125"/>
  <c r="DN124" s="1"/>
  <c r="DN123" s="1"/>
  <c r="DN122" s="1"/>
  <c r="DN121" s="1"/>
  <c r="DN120" s="1"/>
  <c r="DN119" s="1"/>
  <c r="DN118" s="1"/>
  <c r="DN117" s="1"/>
  <c r="DN116" s="1"/>
  <c r="DO125"/>
  <c r="DP125"/>
  <c r="DP124" s="1"/>
  <c r="DP123" s="1"/>
  <c r="DP122" s="1"/>
  <c r="DP121" s="1"/>
  <c r="DP120" s="1"/>
  <c r="DP119" s="1"/>
  <c r="DP118" s="1"/>
  <c r="DP117" s="1"/>
  <c r="DP116" s="1"/>
  <c r="DQ125"/>
  <c r="DR125"/>
  <c r="DR124" s="1"/>
  <c r="DR123" s="1"/>
  <c r="DR122" s="1"/>
  <c r="DR121" s="1"/>
  <c r="DR120" s="1"/>
  <c r="DR119" s="1"/>
  <c r="DR118" s="1"/>
  <c r="DR117" s="1"/>
  <c r="DR116" s="1"/>
  <c r="DS125"/>
  <c r="DT125"/>
  <c r="DT124" s="1"/>
  <c r="DT123" s="1"/>
  <c r="DT122" s="1"/>
  <c r="DT121" s="1"/>
  <c r="DT120" s="1"/>
  <c r="DT119" s="1"/>
  <c r="DT118" s="1"/>
  <c r="DT117" s="1"/>
  <c r="DT116" s="1"/>
  <c r="DU125"/>
  <c r="DV125"/>
  <c r="DV124" s="1"/>
  <c r="DV123" s="1"/>
  <c r="DV122" s="1"/>
  <c r="DV121" s="1"/>
  <c r="DV120" s="1"/>
  <c r="DV119" s="1"/>
  <c r="DV118" s="1"/>
  <c r="DV117" s="1"/>
  <c r="DV116" s="1"/>
  <c r="DW125"/>
  <c r="DX125"/>
  <c r="DX124" s="1"/>
  <c r="DX123" s="1"/>
  <c r="DX122" s="1"/>
  <c r="DX121" s="1"/>
  <c r="DX120" s="1"/>
  <c r="DX119" s="1"/>
  <c r="DX118" s="1"/>
  <c r="DX117" s="1"/>
  <c r="DX116" s="1"/>
  <c r="DY125"/>
  <c r="DZ125"/>
  <c r="DZ124" s="1"/>
  <c r="DZ123" s="1"/>
  <c r="DZ122" s="1"/>
  <c r="DZ121" s="1"/>
  <c r="DZ120" s="1"/>
  <c r="DZ119" s="1"/>
  <c r="DZ118" s="1"/>
  <c r="DZ117" s="1"/>
  <c r="DZ116" s="1"/>
  <c r="EA125"/>
  <c r="EB125"/>
  <c r="EB124" s="1"/>
  <c r="EB123" s="1"/>
  <c r="EB122" s="1"/>
  <c r="EB121" s="1"/>
  <c r="EB120" s="1"/>
  <c r="EB119" s="1"/>
  <c r="EB118" s="1"/>
  <c r="EB117" s="1"/>
  <c r="EB116" s="1"/>
  <c r="DC125"/>
  <c r="DC124" s="1"/>
  <c r="DC123" s="1"/>
  <c r="DC122" s="1"/>
  <c r="DC121" s="1"/>
  <c r="DC120" s="1"/>
  <c r="DC119" s="1"/>
  <c r="DC118" s="1"/>
  <c r="DC117" s="1"/>
  <c r="DC116" s="1"/>
  <c r="DC115" s="1"/>
  <c r="DC114" s="1"/>
  <c r="DC113" s="1"/>
  <c r="DC112" s="1"/>
  <c r="DC111" s="1"/>
  <c r="DC110" s="1"/>
  <c r="DC109" s="1"/>
  <c r="DC108" s="1"/>
  <c r="DC107" s="1"/>
  <c r="DC106" s="1"/>
  <c r="DC105" s="1"/>
  <c r="DC104" s="1"/>
  <c r="DC103" s="1"/>
  <c r="DC102" s="1"/>
  <c r="DD125"/>
  <c r="DD124" s="1"/>
  <c r="DD123" s="1"/>
  <c r="DD122" s="1"/>
  <c r="DD121" s="1"/>
  <c r="DD120" s="1"/>
  <c r="DD119" s="1"/>
  <c r="DD118" s="1"/>
  <c r="DD117" s="1"/>
  <c r="DD116" s="1"/>
  <c r="DD115" s="1"/>
  <c r="DD114" s="1"/>
  <c r="DD113" s="1"/>
  <c r="DD112" s="1"/>
  <c r="DD111" s="1"/>
  <c r="DD110" s="1"/>
  <c r="DD109" s="1"/>
  <c r="DD108" s="1"/>
  <c r="DD107" s="1"/>
  <c r="DD106" s="1"/>
  <c r="DD105" s="1"/>
  <c r="DD104" s="1"/>
  <c r="DD103" s="1"/>
  <c r="DD102" s="1"/>
  <c r="DD101" s="1"/>
  <c r="DD100" s="1"/>
  <c r="DD99" s="1"/>
  <c r="DD98" s="1"/>
  <c r="DD97" s="1"/>
  <c r="DD96" s="1"/>
  <c r="DD95" s="1"/>
  <c r="DD94" s="1"/>
  <c r="DD93" s="1"/>
  <c r="DD92" s="1"/>
  <c r="DD91" s="1"/>
  <c r="DD90" s="1"/>
  <c r="DD89" s="1"/>
  <c r="DD88" s="1"/>
  <c r="DD87" s="1"/>
  <c r="DD86" s="1"/>
  <c r="DE125"/>
  <c r="DE124" s="1"/>
  <c r="DE123" s="1"/>
  <c r="DE122" s="1"/>
  <c r="DE121" s="1"/>
  <c r="DE120" s="1"/>
  <c r="DE119" s="1"/>
  <c r="DE118" s="1"/>
  <c r="DE117" s="1"/>
  <c r="DE116" s="1"/>
  <c r="DE115" s="1"/>
  <c r="DE114" s="1"/>
  <c r="DE113" s="1"/>
  <c r="DE112" s="1"/>
  <c r="DE111" s="1"/>
  <c r="DE110" s="1"/>
  <c r="DE109" s="1"/>
  <c r="DE108" s="1"/>
  <c r="DE107" s="1"/>
  <c r="DE106" s="1"/>
  <c r="DE105" s="1"/>
  <c r="DE104" s="1"/>
  <c r="DE103" s="1"/>
  <c r="DE102" s="1"/>
  <c r="DE101" s="1"/>
  <c r="DE100" s="1"/>
  <c r="DE99" s="1"/>
  <c r="DE98" s="1"/>
  <c r="DE97" s="1"/>
  <c r="DE96" s="1"/>
  <c r="DE95" s="1"/>
  <c r="DE94" s="1"/>
  <c r="DE93" s="1"/>
  <c r="DE92" s="1"/>
  <c r="DE91" s="1"/>
  <c r="DE90" s="1"/>
  <c r="DE89" s="1"/>
  <c r="DE88" s="1"/>
  <c r="DE87" s="1"/>
  <c r="DE86" s="1"/>
  <c r="DF125"/>
  <c r="DF124" s="1"/>
  <c r="DF123" s="1"/>
  <c r="DF122" s="1"/>
  <c r="DF121" s="1"/>
  <c r="DF120" s="1"/>
  <c r="DF119" s="1"/>
  <c r="DF118" s="1"/>
  <c r="DF117" s="1"/>
  <c r="DF116" s="1"/>
  <c r="DF115" s="1"/>
  <c r="DF114" s="1"/>
  <c r="DF113" s="1"/>
  <c r="DF112" s="1"/>
  <c r="DF111" s="1"/>
  <c r="DF110" s="1"/>
  <c r="DF109" s="1"/>
  <c r="DF108" s="1"/>
  <c r="DF107" s="1"/>
  <c r="DF106" s="1"/>
  <c r="DF105" s="1"/>
  <c r="DF104" s="1"/>
  <c r="DF103" s="1"/>
  <c r="DF102" s="1"/>
  <c r="DF101" s="1"/>
  <c r="DF100" s="1"/>
  <c r="DF99" s="1"/>
  <c r="DF98" s="1"/>
  <c r="DF97" s="1"/>
  <c r="DF96" s="1"/>
  <c r="DF95" s="1"/>
  <c r="DF94" s="1"/>
  <c r="DF93" s="1"/>
  <c r="DF92" s="1"/>
  <c r="DF91" s="1"/>
  <c r="DF90" s="1"/>
  <c r="DF89" s="1"/>
  <c r="DF88" s="1"/>
  <c r="DF87" s="1"/>
  <c r="DF86" s="1"/>
  <c r="DG125"/>
  <c r="DG124" s="1"/>
  <c r="DG123" s="1"/>
  <c r="DG122" s="1"/>
  <c r="DG121" s="1"/>
  <c r="DG120" s="1"/>
  <c r="DG119" s="1"/>
  <c r="DG118" s="1"/>
  <c r="DG117" s="1"/>
  <c r="DG116" s="1"/>
  <c r="DG115" s="1"/>
  <c r="DG114" s="1"/>
  <c r="DG113" s="1"/>
  <c r="DG112" s="1"/>
  <c r="DG111" s="1"/>
  <c r="DG110" s="1"/>
  <c r="DG109" s="1"/>
  <c r="DG108" s="1"/>
  <c r="DG107" s="1"/>
  <c r="DG106" s="1"/>
  <c r="DG105" s="1"/>
  <c r="DG104" s="1"/>
  <c r="DG103" s="1"/>
  <c r="DG102" s="1"/>
  <c r="DG101" s="1"/>
  <c r="DG100" s="1"/>
  <c r="DG99" s="1"/>
  <c r="DG98" s="1"/>
  <c r="DG97" s="1"/>
  <c r="DG96" s="1"/>
  <c r="DG95" s="1"/>
  <c r="DG94" s="1"/>
  <c r="DG93" s="1"/>
  <c r="DG92" s="1"/>
  <c r="DG91" s="1"/>
  <c r="DG90" s="1"/>
  <c r="DG89" s="1"/>
  <c r="DG88" s="1"/>
  <c r="DG87" s="1"/>
  <c r="DG86" s="1"/>
  <c r="DH125"/>
  <c r="DH124" s="1"/>
  <c r="DH123" s="1"/>
  <c r="DH122" s="1"/>
  <c r="DH121" s="1"/>
  <c r="DH120" s="1"/>
  <c r="DH119" s="1"/>
  <c r="DH118" s="1"/>
  <c r="DH117" s="1"/>
  <c r="DH116" s="1"/>
  <c r="DH115" s="1"/>
  <c r="DH114" s="1"/>
  <c r="DH113" s="1"/>
  <c r="DH112" s="1"/>
  <c r="DH111" s="1"/>
  <c r="DH110" s="1"/>
  <c r="DH109" s="1"/>
  <c r="DH108" s="1"/>
  <c r="DH107" s="1"/>
  <c r="DH106" s="1"/>
  <c r="DH105" s="1"/>
  <c r="DH104" s="1"/>
  <c r="DH103" s="1"/>
  <c r="DH102" s="1"/>
  <c r="DH101" s="1"/>
  <c r="DH100" s="1"/>
  <c r="DH99" s="1"/>
  <c r="DH98" s="1"/>
  <c r="DH97" s="1"/>
  <c r="DH96" s="1"/>
  <c r="DH95" s="1"/>
  <c r="DH94" s="1"/>
  <c r="DH93" s="1"/>
  <c r="DH92" s="1"/>
  <c r="DH91" s="1"/>
  <c r="DH90" s="1"/>
  <c r="DH89" s="1"/>
  <c r="DH88" s="1"/>
  <c r="DH87" s="1"/>
  <c r="DH86" s="1"/>
  <c r="DI125"/>
  <c r="DI124" s="1"/>
  <c r="DI123" s="1"/>
  <c r="DI122" s="1"/>
  <c r="DI121" s="1"/>
  <c r="DI120" s="1"/>
  <c r="DI119" s="1"/>
  <c r="DI118" s="1"/>
  <c r="DI117" s="1"/>
  <c r="DI116" s="1"/>
  <c r="DI115" s="1"/>
  <c r="DI114" s="1"/>
  <c r="DI113" s="1"/>
  <c r="DI112" s="1"/>
  <c r="DI111" s="1"/>
  <c r="DI110" s="1"/>
  <c r="DI109" s="1"/>
  <c r="DI108" s="1"/>
  <c r="DI107" s="1"/>
  <c r="DI106" s="1"/>
  <c r="DI105" s="1"/>
  <c r="DI104" s="1"/>
  <c r="DI103" s="1"/>
  <c r="DI102" s="1"/>
  <c r="DI101" s="1"/>
  <c r="DI100" s="1"/>
  <c r="DI99" s="1"/>
  <c r="DI98" s="1"/>
  <c r="DI97" s="1"/>
  <c r="DI96" s="1"/>
  <c r="DI95" s="1"/>
  <c r="DI94" s="1"/>
  <c r="DI93" s="1"/>
  <c r="DI92" s="1"/>
  <c r="DI91" s="1"/>
  <c r="DI90" s="1"/>
  <c r="DI89" s="1"/>
  <c r="DI88" s="1"/>
  <c r="DI87" s="1"/>
  <c r="DI86" s="1"/>
  <c r="DJ125"/>
  <c r="DJ124" s="1"/>
  <c r="DJ123" s="1"/>
  <c r="DJ122" s="1"/>
  <c r="DJ121" s="1"/>
  <c r="DJ120" s="1"/>
  <c r="DJ119" s="1"/>
  <c r="DJ118" s="1"/>
  <c r="DJ117" s="1"/>
  <c r="DJ116" s="1"/>
  <c r="DJ115" s="1"/>
  <c r="DJ114" s="1"/>
  <c r="DJ113" s="1"/>
  <c r="DJ112" s="1"/>
  <c r="DJ111" s="1"/>
  <c r="DJ110" s="1"/>
  <c r="DJ109" s="1"/>
  <c r="DJ108" s="1"/>
  <c r="DJ107" s="1"/>
  <c r="DJ106" s="1"/>
  <c r="DJ105" s="1"/>
  <c r="DJ104" s="1"/>
  <c r="DJ103" s="1"/>
  <c r="DJ102" s="1"/>
  <c r="DJ101" s="1"/>
  <c r="DJ100" s="1"/>
  <c r="DJ99" s="1"/>
  <c r="DJ98" s="1"/>
  <c r="DJ97" s="1"/>
  <c r="DJ96" s="1"/>
  <c r="DJ95" s="1"/>
  <c r="DJ94" s="1"/>
  <c r="DJ93" s="1"/>
  <c r="DJ92" s="1"/>
  <c r="DJ91" s="1"/>
  <c r="DJ90" s="1"/>
  <c r="DJ89" s="1"/>
  <c r="DJ88" s="1"/>
  <c r="DJ87" s="1"/>
  <c r="DJ86" s="1"/>
  <c r="DK125"/>
  <c r="DK124" s="1"/>
  <c r="DK123" s="1"/>
  <c r="DK122" s="1"/>
  <c r="DK121" s="1"/>
  <c r="DK120" s="1"/>
  <c r="DK119" s="1"/>
  <c r="DK118" s="1"/>
  <c r="DK117" s="1"/>
  <c r="DK116" s="1"/>
  <c r="DK115" s="1"/>
  <c r="DK114" s="1"/>
  <c r="DK113" s="1"/>
  <c r="DK112" s="1"/>
  <c r="DK111" s="1"/>
  <c r="DK110" s="1"/>
  <c r="DK109" s="1"/>
  <c r="DK108" s="1"/>
  <c r="DK107" s="1"/>
  <c r="DK106" s="1"/>
  <c r="DK105" s="1"/>
  <c r="DK104" s="1"/>
  <c r="DK103" s="1"/>
  <c r="DK102" s="1"/>
  <c r="DK101" s="1"/>
  <c r="DK100" s="1"/>
  <c r="DK99" s="1"/>
  <c r="DK98" s="1"/>
  <c r="DK97" s="1"/>
  <c r="DK96" s="1"/>
  <c r="DK95" s="1"/>
  <c r="DK94" s="1"/>
  <c r="DK93" s="1"/>
  <c r="DK92" s="1"/>
  <c r="DK91" s="1"/>
  <c r="DK90" s="1"/>
  <c r="DK89" s="1"/>
  <c r="DK88" s="1"/>
  <c r="DK87" s="1"/>
  <c r="DK86" s="1"/>
  <c r="DL125"/>
  <c r="DL124" s="1"/>
  <c r="DL123" s="1"/>
  <c r="DL122" s="1"/>
  <c r="DL121" s="1"/>
  <c r="DL120" s="1"/>
  <c r="DL119" s="1"/>
  <c r="DL118" s="1"/>
  <c r="DL117" s="1"/>
  <c r="DL116" s="1"/>
  <c r="DL115" s="1"/>
  <c r="DL114" s="1"/>
  <c r="DL113" s="1"/>
  <c r="DL112" s="1"/>
  <c r="DL111" s="1"/>
  <c r="DL110" s="1"/>
  <c r="DL109" s="1"/>
  <c r="DL108" s="1"/>
  <c r="DL107" s="1"/>
  <c r="DL106" s="1"/>
  <c r="DL105" s="1"/>
  <c r="DL104" s="1"/>
  <c r="DL103" s="1"/>
  <c r="DL102" s="1"/>
  <c r="DL101" s="1"/>
  <c r="DL100" s="1"/>
  <c r="DL99" s="1"/>
  <c r="DL98" s="1"/>
  <c r="DL97" s="1"/>
  <c r="DL96" s="1"/>
  <c r="DL95" s="1"/>
  <c r="DL94" s="1"/>
  <c r="DL93" s="1"/>
  <c r="DL92" s="1"/>
  <c r="DL91" s="1"/>
  <c r="DL90" s="1"/>
  <c r="DL89" s="1"/>
  <c r="DL88" s="1"/>
  <c r="DL87" s="1"/>
  <c r="DL86" s="1"/>
  <c r="DM125"/>
  <c r="DM124" s="1"/>
  <c r="DM123" s="1"/>
  <c r="DM122" s="1"/>
  <c r="DM121" s="1"/>
  <c r="DM120" s="1"/>
  <c r="DM119" s="1"/>
  <c r="DM118" s="1"/>
  <c r="DM117" s="1"/>
  <c r="DM116" s="1"/>
  <c r="DM115" s="1"/>
  <c r="DM114" s="1"/>
  <c r="DM113" s="1"/>
  <c r="DM112" s="1"/>
  <c r="DM111" s="1"/>
  <c r="DM110" s="1"/>
  <c r="DM109" s="1"/>
  <c r="DM108" s="1"/>
  <c r="DM107" s="1"/>
  <c r="DM106" s="1"/>
  <c r="DM105" s="1"/>
  <c r="DM104" s="1"/>
  <c r="DM103" s="1"/>
  <c r="DM102" s="1"/>
  <c r="DM101" s="1"/>
  <c r="DM100" s="1"/>
  <c r="DM99" s="1"/>
  <c r="DM98" s="1"/>
  <c r="DM97" s="1"/>
  <c r="DM96" s="1"/>
  <c r="DM95" s="1"/>
  <c r="DM94" s="1"/>
  <c r="DM93" s="1"/>
  <c r="DM92" s="1"/>
  <c r="DM91" s="1"/>
  <c r="DM90" s="1"/>
  <c r="DM89" s="1"/>
  <c r="DM88" s="1"/>
  <c r="DM87" s="1"/>
  <c r="DM86" s="1"/>
  <c r="CO99"/>
  <c r="CO98" s="1"/>
  <c r="CO97" s="1"/>
  <c r="CO96" s="1"/>
  <c r="CO95" s="1"/>
  <c r="CO94" s="1"/>
  <c r="CO93" s="1"/>
  <c r="CO92" s="1"/>
  <c r="CO91" s="1"/>
  <c r="CO90" s="1"/>
  <c r="CO89" s="1"/>
  <c r="CO88" s="1"/>
  <c r="CO86" s="1"/>
  <c r="CQ99"/>
  <c r="CQ98" s="1"/>
  <c r="CQ97" s="1"/>
  <c r="CQ96" s="1"/>
  <c r="CQ95" s="1"/>
  <c r="CQ94" s="1"/>
  <c r="CQ93" s="1"/>
  <c r="CQ92" s="1"/>
  <c r="CQ91" s="1"/>
  <c r="CQ90" s="1"/>
  <c r="CQ89" s="1"/>
  <c r="CQ88" s="1"/>
  <c r="CQ87" s="1"/>
  <c r="CQ86" s="1"/>
  <c r="CS99"/>
  <c r="CS98" s="1"/>
  <c r="CS97" s="1"/>
  <c r="CS96" s="1"/>
  <c r="CS95" s="1"/>
  <c r="CS94" s="1"/>
  <c r="CS93" s="1"/>
  <c r="CS92" s="1"/>
  <c r="CS91" s="1"/>
  <c r="CS90" s="1"/>
  <c r="CS89" s="1"/>
  <c r="CS88" s="1"/>
  <c r="CS87" s="1"/>
  <c r="CS86" s="1"/>
  <c r="CU99"/>
  <c r="CU98" s="1"/>
  <c r="CU97" s="1"/>
  <c r="CU96" s="1"/>
  <c r="CU95" s="1"/>
  <c r="CU94" s="1"/>
  <c r="CU93" s="1"/>
  <c r="CU92" s="1"/>
  <c r="CU91" s="1"/>
  <c r="CU90" s="1"/>
  <c r="CU89" s="1"/>
  <c r="CU88" s="1"/>
  <c r="CU87" s="1"/>
  <c r="CU86" s="1"/>
  <c r="CW99"/>
  <c r="CW98" s="1"/>
  <c r="CW97" s="1"/>
  <c r="CW96" s="1"/>
  <c r="CW95" s="1"/>
  <c r="CW94" s="1"/>
  <c r="CW93" s="1"/>
  <c r="CW92" s="1"/>
  <c r="CW91" s="1"/>
  <c r="CW90" s="1"/>
  <c r="CW89" s="1"/>
  <c r="CW88" s="1"/>
  <c r="CW87" s="1"/>
  <c r="CW86" s="1"/>
  <c r="CY99"/>
  <c r="CY98" s="1"/>
  <c r="CY97" s="1"/>
  <c r="CY96" s="1"/>
  <c r="CY95" s="1"/>
  <c r="CY94" s="1"/>
  <c r="CY93" s="1"/>
  <c r="CY92" s="1"/>
  <c r="CY91" s="1"/>
  <c r="CY90" s="1"/>
  <c r="CY89" s="1"/>
  <c r="CY88" s="1"/>
  <c r="CY87" s="1"/>
  <c r="CY86" s="1"/>
  <c r="DA99"/>
  <c r="DA98" s="1"/>
  <c r="DA97" s="1"/>
  <c r="DA96" s="1"/>
  <c r="DA95" s="1"/>
  <c r="DA94" s="1"/>
  <c r="DA93" s="1"/>
  <c r="DA92" s="1"/>
  <c r="DA91" s="1"/>
  <c r="DA90" s="1"/>
  <c r="DA89" s="1"/>
  <c r="DA88" s="1"/>
  <c r="DA87" s="1"/>
  <c r="DA86" s="1"/>
  <c r="DC99"/>
  <c r="DC98" s="1"/>
  <c r="DC97" s="1"/>
  <c r="DC96" s="1"/>
  <c r="DC95" s="1"/>
  <c r="DC94" s="1"/>
  <c r="DC93" s="1"/>
  <c r="DC92" s="1"/>
  <c r="DC91" s="1"/>
  <c r="DC90" s="1"/>
  <c r="DC89" s="1"/>
  <c r="DC88" s="1"/>
  <c r="DC87" s="1"/>
  <c r="DC86" s="1"/>
  <c r="CO100"/>
  <c r="CP100"/>
  <c r="CP99" s="1"/>
  <c r="CP98" s="1"/>
  <c r="CP97" s="1"/>
  <c r="CP96" s="1"/>
  <c r="CP95" s="1"/>
  <c r="CP94" s="1"/>
  <c r="CP93" s="1"/>
  <c r="CP92" s="1"/>
  <c r="CP91" s="1"/>
  <c r="CP90" s="1"/>
  <c r="CP89" s="1"/>
  <c r="CP88" s="1"/>
  <c r="CP87" s="1"/>
  <c r="CP86" s="1"/>
  <c r="CQ100"/>
  <c r="CR100"/>
  <c r="CR99" s="1"/>
  <c r="CR98" s="1"/>
  <c r="CR97" s="1"/>
  <c r="CR96" s="1"/>
  <c r="CR95" s="1"/>
  <c r="CR94" s="1"/>
  <c r="CR93" s="1"/>
  <c r="CR92" s="1"/>
  <c r="CR91" s="1"/>
  <c r="CR90" s="1"/>
  <c r="CR89" s="1"/>
  <c r="CR88" s="1"/>
  <c r="CR87" s="1"/>
  <c r="CR86" s="1"/>
  <c r="CS100"/>
  <c r="CT100"/>
  <c r="CT99" s="1"/>
  <c r="CT98" s="1"/>
  <c r="CT97" s="1"/>
  <c r="CT96" s="1"/>
  <c r="CT95" s="1"/>
  <c r="CT94" s="1"/>
  <c r="CT93" s="1"/>
  <c r="CT92" s="1"/>
  <c r="CT91" s="1"/>
  <c r="CT90" s="1"/>
  <c r="CT89" s="1"/>
  <c r="CT88" s="1"/>
  <c r="CT87" s="1"/>
  <c r="CT86" s="1"/>
  <c r="CU100"/>
  <c r="CV100"/>
  <c r="CV99" s="1"/>
  <c r="CV98" s="1"/>
  <c r="CV97" s="1"/>
  <c r="CV96" s="1"/>
  <c r="CV95" s="1"/>
  <c r="CV94" s="1"/>
  <c r="CV93" s="1"/>
  <c r="CV92" s="1"/>
  <c r="CV91" s="1"/>
  <c r="CV90" s="1"/>
  <c r="CV89" s="1"/>
  <c r="CV88" s="1"/>
  <c r="CV87" s="1"/>
  <c r="CV86" s="1"/>
  <c r="CW100"/>
  <c r="CX100"/>
  <c r="CX99" s="1"/>
  <c r="CX98" s="1"/>
  <c r="CX97" s="1"/>
  <c r="CX96" s="1"/>
  <c r="CX95" s="1"/>
  <c r="CX94" s="1"/>
  <c r="CX93" s="1"/>
  <c r="CX92" s="1"/>
  <c r="CX91" s="1"/>
  <c r="CX90" s="1"/>
  <c r="CX89" s="1"/>
  <c r="CX88" s="1"/>
  <c r="CX87" s="1"/>
  <c r="CX86" s="1"/>
  <c r="CY100"/>
  <c r="CZ100"/>
  <c r="CZ99" s="1"/>
  <c r="CZ98" s="1"/>
  <c r="CZ97" s="1"/>
  <c r="CZ96" s="1"/>
  <c r="CZ95" s="1"/>
  <c r="CZ94" s="1"/>
  <c r="CZ93" s="1"/>
  <c r="CZ92" s="1"/>
  <c r="CZ91" s="1"/>
  <c r="CZ90" s="1"/>
  <c r="CZ89" s="1"/>
  <c r="CZ88" s="1"/>
  <c r="CZ87" s="1"/>
  <c r="CZ86" s="1"/>
  <c r="DA100"/>
  <c r="DB100"/>
  <c r="DB99" s="1"/>
  <c r="DB98" s="1"/>
  <c r="DB97" s="1"/>
  <c r="DB96" s="1"/>
  <c r="DB95" s="1"/>
  <c r="DB94" s="1"/>
  <c r="DB93" s="1"/>
  <c r="DB92" s="1"/>
  <c r="DB91" s="1"/>
  <c r="DB90" s="1"/>
  <c r="DB89" s="1"/>
  <c r="DB88" s="1"/>
  <c r="DB87" s="1"/>
  <c r="DB86" s="1"/>
  <c r="DC100"/>
  <c r="CN99"/>
  <c r="CN98" s="1"/>
  <c r="CN97" s="1"/>
  <c r="CN96" s="1"/>
  <c r="CN95" s="1"/>
  <c r="CN94" s="1"/>
  <c r="CN93" s="1"/>
  <c r="CN92" s="1"/>
  <c r="CN91" s="1"/>
  <c r="CN90" s="1"/>
  <c r="CN89" s="1"/>
  <c r="CN88" s="1"/>
  <c r="CN87" s="1"/>
  <c r="CN86" s="1"/>
  <c r="CN100"/>
  <c r="AW94"/>
  <c r="CK126"/>
  <c r="CK125"/>
  <c r="CK124"/>
  <c r="CK123"/>
  <c r="CK122"/>
  <c r="CK121"/>
  <c r="CK120"/>
  <c r="CK119"/>
  <c r="CK118"/>
  <c r="CK117"/>
  <c r="CK116"/>
  <c r="AW101"/>
  <c r="AW100"/>
  <c r="AW99"/>
  <c r="AW98"/>
  <c r="AW97"/>
  <c r="AW96"/>
  <c r="AW95"/>
  <c r="AW93"/>
  <c r="AW92"/>
  <c r="AW91"/>
  <c r="AW90"/>
  <c r="AW89"/>
  <c r="AW88"/>
  <c r="AW87"/>
  <c r="AW86"/>
  <c r="AU125"/>
  <c r="AU124"/>
  <c r="AU123" s="1"/>
  <c r="AU122" s="1"/>
  <c r="AU121" s="1"/>
  <c r="AU120" s="1"/>
  <c r="AU119" s="1"/>
  <c r="AU118" s="1"/>
  <c r="AU117" s="1"/>
  <c r="AU116" s="1"/>
  <c r="AU115" s="1"/>
  <c r="AU114" s="1"/>
  <c r="AU113" s="1"/>
  <c r="AU112" s="1"/>
  <c r="AU111" s="1"/>
  <c r="AU110" s="1"/>
  <c r="AU109" s="1"/>
  <c r="AU108" s="1"/>
  <c r="AU107" s="1"/>
  <c r="AU106" s="1"/>
  <c r="AU105" s="1"/>
  <c r="AU104" s="1"/>
  <c r="AU103" s="1"/>
  <c r="AU102" s="1"/>
  <c r="AU101" s="1"/>
  <c r="AU100" s="1"/>
  <c r="AU99" s="1"/>
  <c r="AU98" s="1"/>
  <c r="AU97" s="1"/>
  <c r="AU96" s="1"/>
  <c r="AU95" s="1"/>
  <c r="AU94" s="1"/>
  <c r="AU93" s="1"/>
  <c r="AU92" s="1"/>
  <c r="AU91" s="1"/>
  <c r="AU90" s="1"/>
  <c r="AU89" s="1"/>
  <c r="AU88" s="1"/>
  <c r="AU87" s="1"/>
  <c r="AU86" s="1"/>
  <c r="AU83"/>
  <c r="AU82" s="1"/>
  <c r="AU81" s="1"/>
  <c r="AU80" s="1"/>
  <c r="AU79" s="1"/>
  <c r="AU78" s="1"/>
  <c r="AU77" s="1"/>
  <c r="AU76" s="1"/>
  <c r="AU75" s="1"/>
  <c r="AU74" s="1"/>
  <c r="AU73" s="1"/>
  <c r="AU72" s="1"/>
  <c r="AU71" s="1"/>
  <c r="AU70" s="1"/>
  <c r="AU69" s="1"/>
  <c r="AU68" s="1"/>
  <c r="AU67" s="1"/>
  <c r="AU66" s="1"/>
  <c r="AU65" s="1"/>
  <c r="AU64" s="1"/>
  <c r="AU63" s="1"/>
  <c r="AU62" s="1"/>
  <c r="AU61" s="1"/>
  <c r="AU60" s="1"/>
  <c r="AU59" s="1"/>
  <c r="AU58" s="1"/>
  <c r="AU57" s="1"/>
  <c r="AU56" s="1"/>
  <c r="AU55" s="1"/>
  <c r="AU54" s="1"/>
  <c r="AU53" s="1"/>
  <c r="AU52" s="1"/>
  <c r="AU51" s="1"/>
  <c r="AU50" s="1"/>
  <c r="AU49" s="1"/>
  <c r="AU48" s="1"/>
  <c r="AU47" s="1"/>
  <c r="AU46" s="1"/>
  <c r="AU45" s="1"/>
  <c r="AU44" s="1"/>
  <c r="DN74"/>
  <c r="DO74"/>
  <c r="DP74" s="1"/>
  <c r="DQ74" s="1"/>
  <c r="DR74" s="1"/>
  <c r="DS74" s="1"/>
  <c r="DT74" s="1"/>
  <c r="DU74" s="1"/>
  <c r="DV74" s="1"/>
  <c r="DW74" s="1"/>
  <c r="DX74" s="1"/>
  <c r="DY74" s="1"/>
  <c r="DZ74" s="1"/>
  <c r="EA74" s="1"/>
  <c r="EB74" s="1"/>
  <c r="DN75"/>
  <c r="DO75" s="1"/>
  <c r="DP75" s="1"/>
  <c r="DQ75" s="1"/>
  <c r="DR75" s="1"/>
  <c r="DS75" s="1"/>
  <c r="DT75" s="1"/>
  <c r="DU75" s="1"/>
  <c r="DV75" s="1"/>
  <c r="DW75" s="1"/>
  <c r="DX75" s="1"/>
  <c r="DY75" s="1"/>
  <c r="DZ75" s="1"/>
  <c r="EA75" s="1"/>
  <c r="EB75" s="1"/>
  <c r="DN76"/>
  <c r="DO76"/>
  <c r="DP76" s="1"/>
  <c r="DQ76" s="1"/>
  <c r="DR76" s="1"/>
  <c r="DS76" s="1"/>
  <c r="DT76" s="1"/>
  <c r="DU76" s="1"/>
  <c r="DV76" s="1"/>
  <c r="DW76" s="1"/>
  <c r="DX76" s="1"/>
  <c r="DY76" s="1"/>
  <c r="DZ76" s="1"/>
  <c r="EA76" s="1"/>
  <c r="EB76" s="1"/>
  <c r="DN77"/>
  <c r="DO77" s="1"/>
  <c r="DP77" s="1"/>
  <c r="DQ77" s="1"/>
  <c r="DR77" s="1"/>
  <c r="DS77" s="1"/>
  <c r="DT77" s="1"/>
  <c r="DU77" s="1"/>
  <c r="DV77" s="1"/>
  <c r="DW77" s="1"/>
  <c r="DX77" s="1"/>
  <c r="DY77" s="1"/>
  <c r="DZ77" s="1"/>
  <c r="EA77" s="1"/>
  <c r="EB77" s="1"/>
  <c r="DN78"/>
  <c r="DO78"/>
  <c r="DP78" s="1"/>
  <c r="DQ78" s="1"/>
  <c r="DR78" s="1"/>
  <c r="DS78" s="1"/>
  <c r="DT78" s="1"/>
  <c r="DU78" s="1"/>
  <c r="DV78" s="1"/>
  <c r="DW78" s="1"/>
  <c r="DX78" s="1"/>
  <c r="DY78" s="1"/>
  <c r="DZ78" s="1"/>
  <c r="EA78" s="1"/>
  <c r="EB78" s="1"/>
  <c r="DN79"/>
  <c r="DO79" s="1"/>
  <c r="DP79" s="1"/>
  <c r="DQ79" s="1"/>
  <c r="DR79" s="1"/>
  <c r="DS79" s="1"/>
  <c r="DT79" s="1"/>
  <c r="DU79" s="1"/>
  <c r="DV79" s="1"/>
  <c r="DW79" s="1"/>
  <c r="DX79" s="1"/>
  <c r="DY79" s="1"/>
  <c r="DZ79" s="1"/>
  <c r="EA79" s="1"/>
  <c r="EB79" s="1"/>
  <c r="DN80"/>
  <c r="DO80"/>
  <c r="DP80" s="1"/>
  <c r="DQ80" s="1"/>
  <c r="DR80" s="1"/>
  <c r="DS80" s="1"/>
  <c r="DT80" s="1"/>
  <c r="DU80" s="1"/>
  <c r="DV80" s="1"/>
  <c r="DW80" s="1"/>
  <c r="DX80" s="1"/>
  <c r="DY80" s="1"/>
  <c r="DZ80" s="1"/>
  <c r="EA80" s="1"/>
  <c r="EB80" s="1"/>
  <c r="DN81"/>
  <c r="DO81" s="1"/>
  <c r="DP81" s="1"/>
  <c r="DQ81" s="1"/>
  <c r="DR81" s="1"/>
  <c r="DS81" s="1"/>
  <c r="DT81" s="1"/>
  <c r="DU81" s="1"/>
  <c r="DV81" s="1"/>
  <c r="DW81" s="1"/>
  <c r="DX81" s="1"/>
  <c r="DY81" s="1"/>
  <c r="DZ81" s="1"/>
  <c r="EA81" s="1"/>
  <c r="EB81" s="1"/>
  <c r="DN82"/>
  <c r="DO82"/>
  <c r="DP82" s="1"/>
  <c r="DQ82" s="1"/>
  <c r="DR82" s="1"/>
  <c r="DS82" s="1"/>
  <c r="DT82" s="1"/>
  <c r="DU82" s="1"/>
  <c r="DV82" s="1"/>
  <c r="DW82" s="1"/>
  <c r="DX82" s="1"/>
  <c r="DY82" s="1"/>
  <c r="DZ82" s="1"/>
  <c r="EA82" s="1"/>
  <c r="EB82" s="1"/>
  <c r="DN83"/>
  <c r="DO83" s="1"/>
  <c r="DP83" s="1"/>
  <c r="DQ83" s="1"/>
  <c r="DR83" s="1"/>
  <c r="DS83" s="1"/>
  <c r="DT83" s="1"/>
  <c r="DU83" s="1"/>
  <c r="DV83" s="1"/>
  <c r="DW83" s="1"/>
  <c r="DX83" s="1"/>
  <c r="DY83" s="1"/>
  <c r="DZ83" s="1"/>
  <c r="EA83" s="1"/>
  <c r="EB83" s="1"/>
  <c r="DN84"/>
  <c r="DO84"/>
  <c r="DP84" s="1"/>
  <c r="DQ84" s="1"/>
  <c r="DR84" s="1"/>
  <c r="DS84" s="1"/>
  <c r="DT84" s="1"/>
  <c r="DU84" s="1"/>
  <c r="DV84" s="1"/>
  <c r="DW84" s="1"/>
  <c r="DX84" s="1"/>
  <c r="DY84" s="1"/>
  <c r="DZ84" s="1"/>
  <c r="EA84" s="1"/>
  <c r="EB84" s="1"/>
  <c r="DD60"/>
  <c r="DE60"/>
  <c r="DF60" s="1"/>
  <c r="DG60" s="1"/>
  <c r="DH60" s="1"/>
  <c r="DI60" s="1"/>
  <c r="DJ60" s="1"/>
  <c r="DK60" s="1"/>
  <c r="DL60" s="1"/>
  <c r="DM60" s="1"/>
  <c r="DD61"/>
  <c r="DE61"/>
  <c r="DF61" s="1"/>
  <c r="DG61" s="1"/>
  <c r="DH61" s="1"/>
  <c r="DI61" s="1"/>
  <c r="DJ61" s="1"/>
  <c r="DK61" s="1"/>
  <c r="DL61" s="1"/>
  <c r="DM61" s="1"/>
  <c r="DD62"/>
  <c r="DE62"/>
  <c r="DF62" s="1"/>
  <c r="DG62" s="1"/>
  <c r="DH62" s="1"/>
  <c r="DI62" s="1"/>
  <c r="DJ62" s="1"/>
  <c r="DK62" s="1"/>
  <c r="DL62" s="1"/>
  <c r="DM62" s="1"/>
  <c r="DD63"/>
  <c r="DE63"/>
  <c r="DF63" s="1"/>
  <c r="DG63" s="1"/>
  <c r="DH63" s="1"/>
  <c r="DI63" s="1"/>
  <c r="DJ63" s="1"/>
  <c r="DK63" s="1"/>
  <c r="DL63" s="1"/>
  <c r="DM63" s="1"/>
  <c r="DD64"/>
  <c r="DE64"/>
  <c r="DF64" s="1"/>
  <c r="DG64" s="1"/>
  <c r="DH64" s="1"/>
  <c r="DI64" s="1"/>
  <c r="DJ64" s="1"/>
  <c r="DK64" s="1"/>
  <c r="DL64" s="1"/>
  <c r="DM64" s="1"/>
  <c r="DD65"/>
  <c r="DE65"/>
  <c r="DF65" s="1"/>
  <c r="DG65" s="1"/>
  <c r="DH65" s="1"/>
  <c r="DI65" s="1"/>
  <c r="DJ65" s="1"/>
  <c r="DK65" s="1"/>
  <c r="DL65" s="1"/>
  <c r="DM65" s="1"/>
  <c r="DD66"/>
  <c r="DE66"/>
  <c r="DF66" s="1"/>
  <c r="DG66" s="1"/>
  <c r="DH66" s="1"/>
  <c r="DI66" s="1"/>
  <c r="DJ66" s="1"/>
  <c r="DK66" s="1"/>
  <c r="DL66" s="1"/>
  <c r="DM66" s="1"/>
  <c r="DD67"/>
  <c r="DE67"/>
  <c r="DF67" s="1"/>
  <c r="DG67" s="1"/>
  <c r="DH67" s="1"/>
  <c r="DI67" s="1"/>
  <c r="DJ67" s="1"/>
  <c r="DK67" s="1"/>
  <c r="DL67" s="1"/>
  <c r="DM67" s="1"/>
  <c r="DD68"/>
  <c r="DE68"/>
  <c r="DF68" s="1"/>
  <c r="DG68" s="1"/>
  <c r="DH68" s="1"/>
  <c r="DI68" s="1"/>
  <c r="DJ68" s="1"/>
  <c r="DK68" s="1"/>
  <c r="DL68" s="1"/>
  <c r="DM68" s="1"/>
  <c r="DD69"/>
  <c r="DE69"/>
  <c r="DF69" s="1"/>
  <c r="DG69" s="1"/>
  <c r="DH69" s="1"/>
  <c r="DI69" s="1"/>
  <c r="DJ69" s="1"/>
  <c r="DK69" s="1"/>
  <c r="DL69" s="1"/>
  <c r="DM69" s="1"/>
  <c r="DD70"/>
  <c r="DE70"/>
  <c r="DF70" s="1"/>
  <c r="DG70" s="1"/>
  <c r="DH70" s="1"/>
  <c r="DI70" s="1"/>
  <c r="DJ70" s="1"/>
  <c r="DK70" s="1"/>
  <c r="DL70" s="1"/>
  <c r="DM70" s="1"/>
  <c r="DD71"/>
  <c r="DE71"/>
  <c r="DF71" s="1"/>
  <c r="DG71" s="1"/>
  <c r="DH71" s="1"/>
  <c r="DI71" s="1"/>
  <c r="DJ71" s="1"/>
  <c r="DK71" s="1"/>
  <c r="DL71" s="1"/>
  <c r="DM71" s="1"/>
  <c r="DD72"/>
  <c r="DE72"/>
  <c r="DF72" s="1"/>
  <c r="DG72" s="1"/>
  <c r="DH72" s="1"/>
  <c r="DI72" s="1"/>
  <c r="DJ72" s="1"/>
  <c r="DK72" s="1"/>
  <c r="DL72" s="1"/>
  <c r="DM72" s="1"/>
  <c r="DD73"/>
  <c r="DE73"/>
  <c r="DF73" s="1"/>
  <c r="DG73" s="1"/>
  <c r="DH73" s="1"/>
  <c r="DI73" s="1"/>
  <c r="DJ73" s="1"/>
  <c r="DK73" s="1"/>
  <c r="DL73" s="1"/>
  <c r="DM73" s="1"/>
  <c r="DD74"/>
  <c r="DE74"/>
  <c r="DF74" s="1"/>
  <c r="DG74" s="1"/>
  <c r="DH74" s="1"/>
  <c r="DI74" s="1"/>
  <c r="DJ74" s="1"/>
  <c r="DK74" s="1"/>
  <c r="DL74" s="1"/>
  <c r="DM74" s="1"/>
  <c r="DD75"/>
  <c r="DE75"/>
  <c r="DF75" s="1"/>
  <c r="DG75" s="1"/>
  <c r="DH75" s="1"/>
  <c r="DI75" s="1"/>
  <c r="DJ75" s="1"/>
  <c r="DK75" s="1"/>
  <c r="DL75" s="1"/>
  <c r="DM75" s="1"/>
  <c r="DD76"/>
  <c r="DE76"/>
  <c r="DF76" s="1"/>
  <c r="DG76" s="1"/>
  <c r="DH76" s="1"/>
  <c r="DI76" s="1"/>
  <c r="DJ76" s="1"/>
  <c r="DK76" s="1"/>
  <c r="DL76" s="1"/>
  <c r="DM76" s="1"/>
  <c r="DD77"/>
  <c r="DE77"/>
  <c r="DF77" s="1"/>
  <c r="DG77" s="1"/>
  <c r="DH77" s="1"/>
  <c r="DI77" s="1"/>
  <c r="DJ77" s="1"/>
  <c r="DK77" s="1"/>
  <c r="DL77" s="1"/>
  <c r="DM77" s="1"/>
  <c r="DD78"/>
  <c r="DE78"/>
  <c r="DF78" s="1"/>
  <c r="DG78" s="1"/>
  <c r="DH78" s="1"/>
  <c r="DI78" s="1"/>
  <c r="DJ78" s="1"/>
  <c r="DK78" s="1"/>
  <c r="DL78" s="1"/>
  <c r="DM78" s="1"/>
  <c r="DD79"/>
  <c r="DE79"/>
  <c r="DF79" s="1"/>
  <c r="DG79" s="1"/>
  <c r="DH79" s="1"/>
  <c r="DI79" s="1"/>
  <c r="DJ79" s="1"/>
  <c r="DK79" s="1"/>
  <c r="DL79" s="1"/>
  <c r="DM79" s="1"/>
  <c r="DD80"/>
  <c r="DE80"/>
  <c r="DF80" s="1"/>
  <c r="DG80" s="1"/>
  <c r="DH80" s="1"/>
  <c r="DI80" s="1"/>
  <c r="DJ80" s="1"/>
  <c r="DK80" s="1"/>
  <c r="DL80" s="1"/>
  <c r="DM80" s="1"/>
  <c r="DD81"/>
  <c r="DE81"/>
  <c r="DF81" s="1"/>
  <c r="DG81" s="1"/>
  <c r="DH81" s="1"/>
  <c r="DI81" s="1"/>
  <c r="DJ81" s="1"/>
  <c r="DK81" s="1"/>
  <c r="DL81" s="1"/>
  <c r="DM81" s="1"/>
  <c r="DD82"/>
  <c r="DE82"/>
  <c r="DF82" s="1"/>
  <c r="DG82" s="1"/>
  <c r="DH82" s="1"/>
  <c r="DI82" s="1"/>
  <c r="DJ82" s="1"/>
  <c r="DK82" s="1"/>
  <c r="DL82" s="1"/>
  <c r="DM82" s="1"/>
  <c r="DD83"/>
  <c r="DE83"/>
  <c r="DF83" s="1"/>
  <c r="DG83" s="1"/>
  <c r="DH83" s="1"/>
  <c r="DI83" s="1"/>
  <c r="DJ83" s="1"/>
  <c r="DK83" s="1"/>
  <c r="DL83" s="1"/>
  <c r="DM83" s="1"/>
  <c r="DD84"/>
  <c r="DE84"/>
  <c r="DF84" s="1"/>
  <c r="DG84" s="1"/>
  <c r="DH84" s="1"/>
  <c r="DI84" s="1"/>
  <c r="DJ84" s="1"/>
  <c r="DK84" s="1"/>
  <c r="DL84" s="1"/>
  <c r="DM84" s="1"/>
  <c r="DD44"/>
  <c r="DE44"/>
  <c r="DF44" s="1"/>
  <c r="DG44" s="1"/>
  <c r="DH44" s="1"/>
  <c r="DI44" s="1"/>
  <c r="DJ44" s="1"/>
  <c r="DK44" s="1"/>
  <c r="DL44" s="1"/>
  <c r="DM44" s="1"/>
  <c r="DD45"/>
  <c r="DE45"/>
  <c r="DF45" s="1"/>
  <c r="DG45" s="1"/>
  <c r="DH45" s="1"/>
  <c r="DI45" s="1"/>
  <c r="DJ45" s="1"/>
  <c r="DK45" s="1"/>
  <c r="DL45" s="1"/>
  <c r="DM45" s="1"/>
  <c r="DD46"/>
  <c r="DE46"/>
  <c r="DF46" s="1"/>
  <c r="DG46" s="1"/>
  <c r="DH46" s="1"/>
  <c r="DI46" s="1"/>
  <c r="DJ46" s="1"/>
  <c r="DK46" s="1"/>
  <c r="DL46" s="1"/>
  <c r="DM46" s="1"/>
  <c r="DD47"/>
  <c r="DE47"/>
  <c r="DF47" s="1"/>
  <c r="DG47" s="1"/>
  <c r="DH47" s="1"/>
  <c r="DI47" s="1"/>
  <c r="DJ47" s="1"/>
  <c r="DK47" s="1"/>
  <c r="DL47" s="1"/>
  <c r="DM47" s="1"/>
  <c r="DD48"/>
  <c r="DE48"/>
  <c r="DF48" s="1"/>
  <c r="DG48" s="1"/>
  <c r="DH48" s="1"/>
  <c r="DI48" s="1"/>
  <c r="DJ48" s="1"/>
  <c r="DK48" s="1"/>
  <c r="DL48" s="1"/>
  <c r="DM48" s="1"/>
  <c r="DD49"/>
  <c r="DE49"/>
  <c r="DF49" s="1"/>
  <c r="DG49" s="1"/>
  <c r="DH49" s="1"/>
  <c r="DI49" s="1"/>
  <c r="DJ49" s="1"/>
  <c r="DK49" s="1"/>
  <c r="DL49" s="1"/>
  <c r="DM49" s="1"/>
  <c r="DD50"/>
  <c r="DE50"/>
  <c r="DF50" s="1"/>
  <c r="DG50" s="1"/>
  <c r="DH50" s="1"/>
  <c r="DI50" s="1"/>
  <c r="DJ50" s="1"/>
  <c r="DK50" s="1"/>
  <c r="DL50" s="1"/>
  <c r="DM50" s="1"/>
  <c r="DD51"/>
  <c r="DE51"/>
  <c r="DF51" s="1"/>
  <c r="DG51" s="1"/>
  <c r="DH51" s="1"/>
  <c r="DI51" s="1"/>
  <c r="DJ51" s="1"/>
  <c r="DK51" s="1"/>
  <c r="DL51" s="1"/>
  <c r="DM51" s="1"/>
  <c r="DD52"/>
  <c r="DE52"/>
  <c r="DF52" s="1"/>
  <c r="DG52" s="1"/>
  <c r="DH52" s="1"/>
  <c r="DI52" s="1"/>
  <c r="DJ52" s="1"/>
  <c r="DK52" s="1"/>
  <c r="DL52" s="1"/>
  <c r="DM52" s="1"/>
  <c r="DD53"/>
  <c r="DE53"/>
  <c r="DF53" s="1"/>
  <c r="DG53" s="1"/>
  <c r="DH53" s="1"/>
  <c r="DI53" s="1"/>
  <c r="DJ53" s="1"/>
  <c r="DK53" s="1"/>
  <c r="DL53" s="1"/>
  <c r="DM53" s="1"/>
  <c r="DD54"/>
  <c r="DE54"/>
  <c r="DF54" s="1"/>
  <c r="DG54" s="1"/>
  <c r="DH54" s="1"/>
  <c r="DI54" s="1"/>
  <c r="DJ54" s="1"/>
  <c r="DK54" s="1"/>
  <c r="DL54" s="1"/>
  <c r="DM54" s="1"/>
  <c r="DD55"/>
  <c r="DE55"/>
  <c r="DF55" s="1"/>
  <c r="DG55" s="1"/>
  <c r="DH55" s="1"/>
  <c r="DI55" s="1"/>
  <c r="DJ55" s="1"/>
  <c r="DK55" s="1"/>
  <c r="DL55" s="1"/>
  <c r="DM55" s="1"/>
  <c r="DD56"/>
  <c r="DE56"/>
  <c r="DF56" s="1"/>
  <c r="DG56" s="1"/>
  <c r="DH56" s="1"/>
  <c r="DI56" s="1"/>
  <c r="DJ56" s="1"/>
  <c r="DK56" s="1"/>
  <c r="DL56" s="1"/>
  <c r="DM56" s="1"/>
  <c r="DD57"/>
  <c r="DE57"/>
  <c r="DF57" s="1"/>
  <c r="DG57" s="1"/>
  <c r="DH57" s="1"/>
  <c r="DI57" s="1"/>
  <c r="DJ57" s="1"/>
  <c r="DK57" s="1"/>
  <c r="DL57" s="1"/>
  <c r="DM57" s="1"/>
  <c r="DD58"/>
  <c r="DE58"/>
  <c r="DF58" s="1"/>
  <c r="DG58" s="1"/>
  <c r="DH58" s="1"/>
  <c r="DI58" s="1"/>
  <c r="DJ58" s="1"/>
  <c r="DK58" s="1"/>
  <c r="DL58" s="1"/>
  <c r="DM58" s="1"/>
  <c r="DD59"/>
  <c r="DE59"/>
  <c r="DF59" s="1"/>
  <c r="DG59" s="1"/>
  <c r="DH59" s="1"/>
  <c r="DI59" s="1"/>
  <c r="DJ59" s="1"/>
  <c r="DK59" s="1"/>
  <c r="DL59" s="1"/>
  <c r="DM59" s="1"/>
  <c r="CO45"/>
  <c r="CP45"/>
  <c r="CQ45" s="1"/>
  <c r="CR45" s="1"/>
  <c r="CS45" s="1"/>
  <c r="CT45" s="1"/>
  <c r="CU45" s="1"/>
  <c r="CV45" s="1"/>
  <c r="CW45" s="1"/>
  <c r="CX45" s="1"/>
  <c r="CY45" s="1"/>
  <c r="CZ45" s="1"/>
  <c r="DA45" s="1"/>
  <c r="DB45" s="1"/>
  <c r="DC45" s="1"/>
  <c r="CO46"/>
  <c r="CP46" s="1"/>
  <c r="CQ46" s="1"/>
  <c r="CR46" s="1"/>
  <c r="CS46" s="1"/>
  <c r="CT46" s="1"/>
  <c r="CU46" s="1"/>
  <c r="CV46" s="1"/>
  <c r="CW46" s="1"/>
  <c r="CX46" s="1"/>
  <c r="CY46" s="1"/>
  <c r="CZ46" s="1"/>
  <c r="DA46" s="1"/>
  <c r="DB46" s="1"/>
  <c r="DC46" s="1"/>
  <c r="CO47"/>
  <c r="CP47"/>
  <c r="CQ47" s="1"/>
  <c r="CR47" s="1"/>
  <c r="CS47" s="1"/>
  <c r="CT47" s="1"/>
  <c r="CU47" s="1"/>
  <c r="CV47" s="1"/>
  <c r="CW47" s="1"/>
  <c r="CX47" s="1"/>
  <c r="CY47" s="1"/>
  <c r="CZ47" s="1"/>
  <c r="DA47" s="1"/>
  <c r="DB47" s="1"/>
  <c r="DC47" s="1"/>
  <c r="CO48"/>
  <c r="CP48" s="1"/>
  <c r="CQ48" s="1"/>
  <c r="CR48" s="1"/>
  <c r="CS48" s="1"/>
  <c r="CT48" s="1"/>
  <c r="CU48" s="1"/>
  <c r="CV48" s="1"/>
  <c r="CW48" s="1"/>
  <c r="CX48" s="1"/>
  <c r="CY48" s="1"/>
  <c r="CZ48" s="1"/>
  <c r="DA48" s="1"/>
  <c r="DB48" s="1"/>
  <c r="DC48" s="1"/>
  <c r="CO49"/>
  <c r="CP49"/>
  <c r="CQ49" s="1"/>
  <c r="CR49" s="1"/>
  <c r="CS49" s="1"/>
  <c r="CT49" s="1"/>
  <c r="CU49" s="1"/>
  <c r="CV49" s="1"/>
  <c r="CW49" s="1"/>
  <c r="CX49" s="1"/>
  <c r="CY49" s="1"/>
  <c r="CZ49" s="1"/>
  <c r="DA49" s="1"/>
  <c r="DB49" s="1"/>
  <c r="DC49" s="1"/>
  <c r="CO50"/>
  <c r="CP50" s="1"/>
  <c r="CQ50" s="1"/>
  <c r="CR50" s="1"/>
  <c r="CS50" s="1"/>
  <c r="CT50" s="1"/>
  <c r="CU50" s="1"/>
  <c r="CV50" s="1"/>
  <c r="CW50" s="1"/>
  <c r="CX50" s="1"/>
  <c r="CY50" s="1"/>
  <c r="CZ50" s="1"/>
  <c r="DA50" s="1"/>
  <c r="DB50" s="1"/>
  <c r="DC50" s="1"/>
  <c r="CO51"/>
  <c r="CP51"/>
  <c r="CQ51" s="1"/>
  <c r="CR51" s="1"/>
  <c r="CS51" s="1"/>
  <c r="CT51" s="1"/>
  <c r="CU51" s="1"/>
  <c r="CV51" s="1"/>
  <c r="CW51" s="1"/>
  <c r="CX51" s="1"/>
  <c r="CY51" s="1"/>
  <c r="CZ51" s="1"/>
  <c r="DA51" s="1"/>
  <c r="DB51" s="1"/>
  <c r="DC51" s="1"/>
  <c r="CO52"/>
  <c r="CP52" s="1"/>
  <c r="CQ52" s="1"/>
  <c r="CR52" s="1"/>
  <c r="CS52" s="1"/>
  <c r="CT52" s="1"/>
  <c r="CU52" s="1"/>
  <c r="CV52" s="1"/>
  <c r="CW52" s="1"/>
  <c r="CX52" s="1"/>
  <c r="CY52" s="1"/>
  <c r="CZ52" s="1"/>
  <c r="DA52" s="1"/>
  <c r="DB52" s="1"/>
  <c r="DC52" s="1"/>
  <c r="CO53"/>
  <c r="CP53"/>
  <c r="CQ53" s="1"/>
  <c r="CR53" s="1"/>
  <c r="CS53" s="1"/>
  <c r="CT53" s="1"/>
  <c r="CU53" s="1"/>
  <c r="CV53" s="1"/>
  <c r="CW53" s="1"/>
  <c r="CX53" s="1"/>
  <c r="CY53" s="1"/>
  <c r="CZ53" s="1"/>
  <c r="DA53" s="1"/>
  <c r="DB53" s="1"/>
  <c r="DC53" s="1"/>
  <c r="CO54"/>
  <c r="CP54" s="1"/>
  <c r="CQ54" s="1"/>
  <c r="CR54" s="1"/>
  <c r="CS54" s="1"/>
  <c r="CT54" s="1"/>
  <c r="CU54" s="1"/>
  <c r="CV54" s="1"/>
  <c r="CW54" s="1"/>
  <c r="CX54" s="1"/>
  <c r="CY54" s="1"/>
  <c r="CZ54" s="1"/>
  <c r="DA54" s="1"/>
  <c r="DB54" s="1"/>
  <c r="DC54" s="1"/>
  <c r="CO55"/>
  <c r="CP55"/>
  <c r="CQ55" s="1"/>
  <c r="CR55" s="1"/>
  <c r="CS55" s="1"/>
  <c r="CT55" s="1"/>
  <c r="CU55" s="1"/>
  <c r="CV55" s="1"/>
  <c r="CW55" s="1"/>
  <c r="CX55" s="1"/>
  <c r="CY55" s="1"/>
  <c r="CZ55" s="1"/>
  <c r="DA55" s="1"/>
  <c r="DB55" s="1"/>
  <c r="DC55" s="1"/>
  <c r="CO56"/>
  <c r="CP56" s="1"/>
  <c r="CQ56" s="1"/>
  <c r="CR56" s="1"/>
  <c r="CS56" s="1"/>
  <c r="CT56" s="1"/>
  <c r="CU56" s="1"/>
  <c r="CV56" s="1"/>
  <c r="CW56" s="1"/>
  <c r="CX56" s="1"/>
  <c r="CY56" s="1"/>
  <c r="CZ56" s="1"/>
  <c r="DA56" s="1"/>
  <c r="DB56" s="1"/>
  <c r="DC56" s="1"/>
  <c r="CO57"/>
  <c r="CP57"/>
  <c r="CQ57" s="1"/>
  <c r="CR57" s="1"/>
  <c r="CS57" s="1"/>
  <c r="CT57" s="1"/>
  <c r="CU57" s="1"/>
  <c r="CV57" s="1"/>
  <c r="CW57" s="1"/>
  <c r="CX57" s="1"/>
  <c r="CY57" s="1"/>
  <c r="CZ57" s="1"/>
  <c r="DA57" s="1"/>
  <c r="DB57" s="1"/>
  <c r="DC57" s="1"/>
  <c r="CO58"/>
  <c r="CP58" s="1"/>
  <c r="CQ58" s="1"/>
  <c r="CR58" s="1"/>
  <c r="CS58" s="1"/>
  <c r="CT58" s="1"/>
  <c r="CU58" s="1"/>
  <c r="CV58" s="1"/>
  <c r="CW58" s="1"/>
  <c r="CX58" s="1"/>
  <c r="CY58" s="1"/>
  <c r="CZ58" s="1"/>
  <c r="DA58" s="1"/>
  <c r="DB58" s="1"/>
  <c r="DC58" s="1"/>
  <c r="CO59"/>
  <c r="CP59"/>
  <c r="CQ59" s="1"/>
  <c r="CR59" s="1"/>
  <c r="CS59" s="1"/>
  <c r="CT59" s="1"/>
  <c r="CU59" s="1"/>
  <c r="CV59" s="1"/>
  <c r="CW59" s="1"/>
  <c r="CX59" s="1"/>
  <c r="CY59" s="1"/>
  <c r="CZ59" s="1"/>
  <c r="DA59" s="1"/>
  <c r="DB59" s="1"/>
  <c r="CP44"/>
  <c r="CQ44"/>
  <c r="CR44" s="1"/>
  <c r="CS44" s="1"/>
  <c r="CT44" s="1"/>
  <c r="CU44" s="1"/>
  <c r="CV44" s="1"/>
  <c r="CW44" s="1"/>
  <c r="CX44" s="1"/>
  <c r="CY44" s="1"/>
  <c r="CZ44" s="1"/>
  <c r="DA44" s="1"/>
  <c r="DB44" s="1"/>
  <c r="DC44" s="1"/>
  <c r="CO44"/>
  <c r="BW74"/>
  <c r="BX74"/>
  <c r="BY74"/>
  <c r="BZ74"/>
  <c r="CA74"/>
  <c r="CB74"/>
  <c r="CC74"/>
  <c r="CD74"/>
  <c r="CE74"/>
  <c r="CF74"/>
  <c r="CG74"/>
  <c r="CH74"/>
  <c r="CI74"/>
  <c r="CJ74"/>
  <c r="CK74"/>
  <c r="BW75"/>
  <c r="BX75"/>
  <c r="BY75"/>
  <c r="BZ75"/>
  <c r="CA75"/>
  <c r="CB75"/>
  <c r="CC75"/>
  <c r="CD75"/>
  <c r="CE75"/>
  <c r="CF75"/>
  <c r="CG75"/>
  <c r="CH75"/>
  <c r="CI75"/>
  <c r="CJ75"/>
  <c r="CK75"/>
  <c r="BW76"/>
  <c r="BX76"/>
  <c r="BY76"/>
  <c r="BZ76"/>
  <c r="CA76"/>
  <c r="CB76"/>
  <c r="CC76"/>
  <c r="CD76"/>
  <c r="CE76"/>
  <c r="CF76"/>
  <c r="CG76"/>
  <c r="CH76"/>
  <c r="CI76"/>
  <c r="CJ76"/>
  <c r="CK76"/>
  <c r="BW77"/>
  <c r="BX77"/>
  <c r="BY77"/>
  <c r="BZ77"/>
  <c r="CA77"/>
  <c r="CB77"/>
  <c r="CC77"/>
  <c r="CD77"/>
  <c r="CE77"/>
  <c r="CF77"/>
  <c r="CG77"/>
  <c r="CH77"/>
  <c r="CI77"/>
  <c r="CJ77"/>
  <c r="CK77"/>
  <c r="BW78"/>
  <c r="BX78"/>
  <c r="BY78"/>
  <c r="BZ78"/>
  <c r="CA78"/>
  <c r="CB78"/>
  <c r="CC78"/>
  <c r="CD78"/>
  <c r="CE78"/>
  <c r="CF78"/>
  <c r="CG78"/>
  <c r="CH78"/>
  <c r="CI78"/>
  <c r="CJ78"/>
  <c r="CK78"/>
  <c r="BW79"/>
  <c r="BX79"/>
  <c r="BY79"/>
  <c r="BZ79"/>
  <c r="CA79"/>
  <c r="CB79"/>
  <c r="CC79"/>
  <c r="CD79"/>
  <c r="CE79"/>
  <c r="CF79"/>
  <c r="CG79"/>
  <c r="CH79"/>
  <c r="CI79"/>
  <c r="CJ79"/>
  <c r="CK79"/>
  <c r="BW80"/>
  <c r="BX80"/>
  <c r="BY80"/>
  <c r="BZ80"/>
  <c r="CA80"/>
  <c r="CB80"/>
  <c r="CC80"/>
  <c r="CD80"/>
  <c r="CE80"/>
  <c r="CF80"/>
  <c r="CG80"/>
  <c r="CH80"/>
  <c r="CI80"/>
  <c r="CJ80"/>
  <c r="CK80"/>
  <c r="BW81"/>
  <c r="BX81"/>
  <c r="BY81"/>
  <c r="BZ81"/>
  <c r="CA81"/>
  <c r="CB81"/>
  <c r="CC81"/>
  <c r="CD81"/>
  <c r="CE81"/>
  <c r="CF81"/>
  <c r="CG81"/>
  <c r="CH81"/>
  <c r="CI81"/>
  <c r="CJ81"/>
  <c r="CK81"/>
  <c r="BW82"/>
  <c r="BX82"/>
  <c r="BY82"/>
  <c r="BZ82"/>
  <c r="CA82"/>
  <c r="CB82"/>
  <c r="CC82"/>
  <c r="CD82"/>
  <c r="CE82"/>
  <c r="CF82"/>
  <c r="CG82"/>
  <c r="CH82"/>
  <c r="CI82"/>
  <c r="CJ82"/>
  <c r="CK82"/>
  <c r="BW83"/>
  <c r="FE125" s="1"/>
  <c r="BX83"/>
  <c r="FF125" s="1"/>
  <c r="BY83"/>
  <c r="FG125" s="1"/>
  <c r="BZ83"/>
  <c r="FH125" s="1"/>
  <c r="CA83"/>
  <c r="FI125" s="1"/>
  <c r="CB83"/>
  <c r="FJ125" s="1"/>
  <c r="CC83"/>
  <c r="FK125" s="1"/>
  <c r="CD83"/>
  <c r="FL125" s="1"/>
  <c r="CE83"/>
  <c r="FM125" s="1"/>
  <c r="CF83"/>
  <c r="FN125" s="1"/>
  <c r="CG83"/>
  <c r="FO125" s="1"/>
  <c r="CH83"/>
  <c r="FP125" s="1"/>
  <c r="CI83"/>
  <c r="FQ125" s="1"/>
  <c r="CJ83"/>
  <c r="FR125" s="1"/>
  <c r="CK83"/>
  <c r="FS125" s="1"/>
  <c r="FS124" s="1"/>
  <c r="FS123" s="1"/>
  <c r="FS122" s="1"/>
  <c r="FS121" s="1"/>
  <c r="FS120" s="1"/>
  <c r="FS119" s="1"/>
  <c r="FS118" s="1"/>
  <c r="FS117" s="1"/>
  <c r="AT116" s="1"/>
  <c r="BW84"/>
  <c r="BX84"/>
  <c r="BY84"/>
  <c r="BZ84"/>
  <c r="CA84"/>
  <c r="CB84"/>
  <c r="CC84"/>
  <c r="CD84"/>
  <c r="CE84"/>
  <c r="CF84"/>
  <c r="CG84"/>
  <c r="CH84"/>
  <c r="CI84"/>
  <c r="CJ84"/>
  <c r="CK84"/>
  <c r="BV74"/>
  <c r="BV75"/>
  <c r="BV76"/>
  <c r="BV77"/>
  <c r="BV78"/>
  <c r="BV79"/>
  <c r="BV80"/>
  <c r="BV81"/>
  <c r="BV82"/>
  <c r="BV83"/>
  <c r="FD125" s="1"/>
  <c r="BL60"/>
  <c r="BM60"/>
  <c r="EU60" s="1"/>
  <c r="BN60"/>
  <c r="BO60"/>
  <c r="BP60"/>
  <c r="BQ60"/>
  <c r="BR60"/>
  <c r="BS60"/>
  <c r="BT60"/>
  <c r="BU60"/>
  <c r="BV60"/>
  <c r="BL61"/>
  <c r="BM61"/>
  <c r="EU61" s="1"/>
  <c r="BN61"/>
  <c r="BO61"/>
  <c r="BP61"/>
  <c r="BQ61"/>
  <c r="BR61"/>
  <c r="BS61"/>
  <c r="BT61"/>
  <c r="BU61"/>
  <c r="BV61"/>
  <c r="BL62"/>
  <c r="BM62"/>
  <c r="EU62" s="1"/>
  <c r="BN62"/>
  <c r="BO62"/>
  <c r="BP62"/>
  <c r="BQ62"/>
  <c r="BR62"/>
  <c r="BS62"/>
  <c r="BT62"/>
  <c r="BU62"/>
  <c r="BV62"/>
  <c r="BL63"/>
  <c r="BM63"/>
  <c r="EU63" s="1"/>
  <c r="BN63"/>
  <c r="BO63"/>
  <c r="BP63"/>
  <c r="BQ63"/>
  <c r="BR63"/>
  <c r="BS63"/>
  <c r="BT63"/>
  <c r="BU63"/>
  <c r="BV63"/>
  <c r="BL64"/>
  <c r="BM64"/>
  <c r="EU64" s="1"/>
  <c r="BN64"/>
  <c r="BO64"/>
  <c r="BP64"/>
  <c r="BQ64"/>
  <c r="BR64"/>
  <c r="BS64"/>
  <c r="BT64"/>
  <c r="BU64"/>
  <c r="BV64"/>
  <c r="BL65"/>
  <c r="BM65"/>
  <c r="EU65" s="1"/>
  <c r="BN65"/>
  <c r="BO65"/>
  <c r="BP65"/>
  <c r="BQ65"/>
  <c r="BR65"/>
  <c r="BS65"/>
  <c r="BT65"/>
  <c r="BU65"/>
  <c r="BV65"/>
  <c r="BL66"/>
  <c r="BM66"/>
  <c r="EU66" s="1"/>
  <c r="BN66"/>
  <c r="BO66"/>
  <c r="BP66"/>
  <c r="BQ66"/>
  <c r="BR66"/>
  <c r="BS66"/>
  <c r="BT66"/>
  <c r="BU66"/>
  <c r="BV66"/>
  <c r="BL67"/>
  <c r="BM67"/>
  <c r="EU67" s="1"/>
  <c r="BN67"/>
  <c r="BO67"/>
  <c r="BP67"/>
  <c r="BQ67"/>
  <c r="BR67"/>
  <c r="BS67"/>
  <c r="BT67"/>
  <c r="BU67"/>
  <c r="BV67"/>
  <c r="BL68"/>
  <c r="BM68"/>
  <c r="EU68" s="1"/>
  <c r="BN68"/>
  <c r="BO68"/>
  <c r="BP68"/>
  <c r="BQ68"/>
  <c r="BR68"/>
  <c r="BS68"/>
  <c r="BT68"/>
  <c r="BU68"/>
  <c r="BV68"/>
  <c r="BL69"/>
  <c r="BM69"/>
  <c r="EU69" s="1"/>
  <c r="BN69"/>
  <c r="BO69"/>
  <c r="BP69"/>
  <c r="BQ69"/>
  <c r="BR69"/>
  <c r="BS69"/>
  <c r="BT69"/>
  <c r="BU69"/>
  <c r="BV69"/>
  <c r="BL70"/>
  <c r="BM70"/>
  <c r="EU70" s="1"/>
  <c r="BN70"/>
  <c r="BO70"/>
  <c r="BP70"/>
  <c r="BQ70"/>
  <c r="BR70"/>
  <c r="BS70"/>
  <c r="BT70"/>
  <c r="BU70"/>
  <c r="BV70"/>
  <c r="BL71"/>
  <c r="BM71"/>
  <c r="EU71" s="1"/>
  <c r="BN71"/>
  <c r="BO71"/>
  <c r="BP71"/>
  <c r="BQ71"/>
  <c r="BR71"/>
  <c r="BS71"/>
  <c r="BT71"/>
  <c r="BU71"/>
  <c r="BV71"/>
  <c r="BL72"/>
  <c r="BM72"/>
  <c r="EU72" s="1"/>
  <c r="BN72"/>
  <c r="BO72"/>
  <c r="BP72"/>
  <c r="BQ72"/>
  <c r="BR72"/>
  <c r="BS72"/>
  <c r="BT72"/>
  <c r="BU72"/>
  <c r="BV72"/>
  <c r="BL73"/>
  <c r="BM73"/>
  <c r="EU73" s="1"/>
  <c r="BN73"/>
  <c r="BO73"/>
  <c r="BP73"/>
  <c r="BQ73"/>
  <c r="BR73"/>
  <c r="BS73"/>
  <c r="BT73"/>
  <c r="BU73"/>
  <c r="BV73"/>
  <c r="BL74"/>
  <c r="BM74"/>
  <c r="EU74" s="1"/>
  <c r="BN74"/>
  <c r="BO74"/>
  <c r="BP74"/>
  <c r="BQ74"/>
  <c r="BR74"/>
  <c r="BS74"/>
  <c r="BT74"/>
  <c r="BU74"/>
  <c r="BL75"/>
  <c r="BM75"/>
  <c r="EU75" s="1"/>
  <c r="BN75"/>
  <c r="BO75"/>
  <c r="BP75"/>
  <c r="BQ75"/>
  <c r="BR75"/>
  <c r="BS75"/>
  <c r="BT75"/>
  <c r="BU75"/>
  <c r="BL76"/>
  <c r="BM76"/>
  <c r="EU76" s="1"/>
  <c r="BN76"/>
  <c r="BO76"/>
  <c r="BP76"/>
  <c r="BQ76"/>
  <c r="BR76"/>
  <c r="BS76"/>
  <c r="BT76"/>
  <c r="BU76"/>
  <c r="BL77"/>
  <c r="BM77"/>
  <c r="EU77" s="1"/>
  <c r="BN77"/>
  <c r="BO77"/>
  <c r="BP77"/>
  <c r="BQ77"/>
  <c r="BR77"/>
  <c r="BS77"/>
  <c r="BT77"/>
  <c r="BU77"/>
  <c r="BL78"/>
  <c r="BM78"/>
  <c r="EU78" s="1"/>
  <c r="BN78"/>
  <c r="BO78"/>
  <c r="BP78"/>
  <c r="BQ78"/>
  <c r="BR78"/>
  <c r="BS78"/>
  <c r="BT78"/>
  <c r="BU78"/>
  <c r="BL79"/>
  <c r="BM79"/>
  <c r="EU79" s="1"/>
  <c r="BN79"/>
  <c r="BO79"/>
  <c r="BP79"/>
  <c r="BQ79"/>
  <c r="BR79"/>
  <c r="BS79"/>
  <c r="BT79"/>
  <c r="BU79"/>
  <c r="BL80"/>
  <c r="BM80"/>
  <c r="EU80" s="1"/>
  <c r="BN80"/>
  <c r="BO80"/>
  <c r="BP80"/>
  <c r="BQ80"/>
  <c r="BR80"/>
  <c r="BS80"/>
  <c r="BT80"/>
  <c r="BU80"/>
  <c r="BL81"/>
  <c r="BM81"/>
  <c r="EU81" s="1"/>
  <c r="BN81"/>
  <c r="BO81"/>
  <c r="BP81"/>
  <c r="BQ81"/>
  <c r="BR81"/>
  <c r="BS81"/>
  <c r="BT81"/>
  <c r="BU81"/>
  <c r="BL82"/>
  <c r="BM82"/>
  <c r="EU82" s="1"/>
  <c r="BN82"/>
  <c r="BO82"/>
  <c r="BP82"/>
  <c r="BQ82"/>
  <c r="BR82"/>
  <c r="BS82"/>
  <c r="BT82"/>
  <c r="BU82"/>
  <c r="BL83"/>
  <c r="ET125" s="1"/>
  <c r="ET124" s="1"/>
  <c r="ET123" s="1"/>
  <c r="ET122" s="1"/>
  <c r="ET121" s="1"/>
  <c r="ET120" s="1"/>
  <c r="ET119" s="1"/>
  <c r="ET118" s="1"/>
  <c r="ET117" s="1"/>
  <c r="ET116" s="1"/>
  <c r="BM83"/>
  <c r="EU125" s="1"/>
  <c r="EU124" s="1"/>
  <c r="EU123" s="1"/>
  <c r="EU122" s="1"/>
  <c r="EU121" s="1"/>
  <c r="EU120" s="1"/>
  <c r="EU119" s="1"/>
  <c r="EU118" s="1"/>
  <c r="EU117" s="1"/>
  <c r="EU116" s="1"/>
  <c r="BN83"/>
  <c r="EV125" s="1"/>
  <c r="EV124" s="1"/>
  <c r="EV123" s="1"/>
  <c r="EV122" s="1"/>
  <c r="EV121" s="1"/>
  <c r="EV120" s="1"/>
  <c r="EV119" s="1"/>
  <c r="EV118" s="1"/>
  <c r="EV117" s="1"/>
  <c r="EV116" s="1"/>
  <c r="BO83"/>
  <c r="EW125" s="1"/>
  <c r="EW124" s="1"/>
  <c r="EW123" s="1"/>
  <c r="EW122" s="1"/>
  <c r="EW121" s="1"/>
  <c r="EW120" s="1"/>
  <c r="EW119" s="1"/>
  <c r="EW118" s="1"/>
  <c r="EW117" s="1"/>
  <c r="EW116" s="1"/>
  <c r="BP83"/>
  <c r="EX125" s="1"/>
  <c r="EX124" s="1"/>
  <c r="EX123" s="1"/>
  <c r="EX122" s="1"/>
  <c r="EX121" s="1"/>
  <c r="EX120" s="1"/>
  <c r="BQ83"/>
  <c r="EY125" s="1"/>
  <c r="EY124" s="1"/>
  <c r="EY123" s="1"/>
  <c r="EY122" s="1"/>
  <c r="EY121" s="1"/>
  <c r="EY120" s="1"/>
  <c r="EY119" s="1"/>
  <c r="EY118" s="1"/>
  <c r="EY117" s="1"/>
  <c r="EY116" s="1"/>
  <c r="BR83"/>
  <c r="EZ125" s="1"/>
  <c r="EZ124" s="1"/>
  <c r="EZ123" s="1"/>
  <c r="EZ122" s="1"/>
  <c r="EZ121" s="1"/>
  <c r="EZ120" s="1"/>
  <c r="EZ119" s="1"/>
  <c r="EZ118" s="1"/>
  <c r="EZ117" s="1"/>
  <c r="EZ116" s="1"/>
  <c r="BS83"/>
  <c r="FA125" s="1"/>
  <c r="FA124" s="1"/>
  <c r="FA123" s="1"/>
  <c r="FA122" s="1"/>
  <c r="FA121" s="1"/>
  <c r="FA120" s="1"/>
  <c r="FA119" s="1"/>
  <c r="FA118" s="1"/>
  <c r="FA117" s="1"/>
  <c r="FA116" s="1"/>
  <c r="BT83"/>
  <c r="FB125" s="1"/>
  <c r="FB124" s="1"/>
  <c r="FB123" s="1"/>
  <c r="FB122" s="1"/>
  <c r="FB121" s="1"/>
  <c r="FB120" s="1"/>
  <c r="FB119" s="1"/>
  <c r="FB118" s="1"/>
  <c r="FB117" s="1"/>
  <c r="FB116" s="1"/>
  <c r="BU83"/>
  <c r="FC125" s="1"/>
  <c r="FC124" s="1"/>
  <c r="FC123" s="1"/>
  <c r="FC122" s="1"/>
  <c r="FC121" s="1"/>
  <c r="FC120" s="1"/>
  <c r="FC119" s="1"/>
  <c r="FC118" s="1"/>
  <c r="FC117" s="1"/>
  <c r="FC116" s="1"/>
  <c r="BL84"/>
  <c r="BM84"/>
  <c r="EU84" s="1"/>
  <c r="BN84"/>
  <c r="BO84"/>
  <c r="BP84"/>
  <c r="BQ84"/>
  <c r="BR84"/>
  <c r="BS84"/>
  <c r="BT84"/>
  <c r="BU84"/>
  <c r="BV84"/>
  <c r="BM59"/>
  <c r="BN59"/>
  <c r="BO59"/>
  <c r="BP59"/>
  <c r="BQ59"/>
  <c r="BR59"/>
  <c r="BS59"/>
  <c r="BT59"/>
  <c r="BU59"/>
  <c r="BV59"/>
  <c r="BL59"/>
  <c r="BI58"/>
  <c r="EQ100" s="1"/>
  <c r="AW47"/>
  <c r="AX47"/>
  <c r="EF47" s="1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AW48"/>
  <c r="AX48"/>
  <c r="EF48" s="1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AW49"/>
  <c r="AX49"/>
  <c r="EF49" s="1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AW50"/>
  <c r="AX50"/>
  <c r="EF50" s="1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AW51"/>
  <c r="AX51"/>
  <c r="EF51" s="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AW52"/>
  <c r="AX52"/>
  <c r="EF52" s="1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AW53"/>
  <c r="AX53"/>
  <c r="EF53" s="1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AW54"/>
  <c r="AX54"/>
  <c r="EF54" s="1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AW55"/>
  <c r="AX55"/>
  <c r="EF55" s="1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AW56"/>
  <c r="AX56"/>
  <c r="EF56" s="1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AW57"/>
  <c r="AX57"/>
  <c r="EF57" s="1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AW58"/>
  <c r="AX58"/>
  <c r="EF100" s="1"/>
  <c r="EF99" s="1"/>
  <c r="EF98" s="1"/>
  <c r="EF97" s="1"/>
  <c r="EF96" s="1"/>
  <c r="EF95" s="1"/>
  <c r="EF94" s="1"/>
  <c r="EF93" s="1"/>
  <c r="EF92" s="1"/>
  <c r="EF91" s="1"/>
  <c r="EF90" s="1"/>
  <c r="EF89" s="1"/>
  <c r="AY58"/>
  <c r="EG100" s="1"/>
  <c r="EG99" s="1"/>
  <c r="EG98" s="1"/>
  <c r="EG97" s="1"/>
  <c r="EG96" s="1"/>
  <c r="EG95" s="1"/>
  <c r="EG94" s="1"/>
  <c r="EG93" s="1"/>
  <c r="EG92" s="1"/>
  <c r="EG91" s="1"/>
  <c r="EG90" s="1"/>
  <c r="EG89" s="1"/>
  <c r="AZ58"/>
  <c r="EH100" s="1"/>
  <c r="EH99" s="1"/>
  <c r="EH98" s="1"/>
  <c r="EH97" s="1"/>
  <c r="EH96" s="1"/>
  <c r="EH95" s="1"/>
  <c r="EH94" s="1"/>
  <c r="EH93" s="1"/>
  <c r="EH92" s="1"/>
  <c r="EH91" s="1"/>
  <c r="EH90" s="1"/>
  <c r="EH89" s="1"/>
  <c r="BA58"/>
  <c r="EI100" s="1"/>
  <c r="EI99" s="1"/>
  <c r="EI98" s="1"/>
  <c r="EI97" s="1"/>
  <c r="EI96" s="1"/>
  <c r="EI95" s="1"/>
  <c r="EI94" s="1"/>
  <c r="EI93" s="1"/>
  <c r="EI92" s="1"/>
  <c r="EI91" s="1"/>
  <c r="EI90" s="1"/>
  <c r="EI89" s="1"/>
  <c r="BB58"/>
  <c r="EJ100" s="1"/>
  <c r="EJ99" s="1"/>
  <c r="EJ98" s="1"/>
  <c r="EJ97" s="1"/>
  <c r="EJ96" s="1"/>
  <c r="EJ95" s="1"/>
  <c r="EJ94" s="1"/>
  <c r="EJ93" s="1"/>
  <c r="EJ92" s="1"/>
  <c r="EJ91" s="1"/>
  <c r="EJ90" s="1"/>
  <c r="EJ89" s="1"/>
  <c r="BC58"/>
  <c r="EK100" s="1"/>
  <c r="EK99" s="1"/>
  <c r="EK98" s="1"/>
  <c r="EK97" s="1"/>
  <c r="EK96" s="1"/>
  <c r="EK95" s="1"/>
  <c r="EK94" s="1"/>
  <c r="EK93" s="1"/>
  <c r="EK92" s="1"/>
  <c r="EK91" s="1"/>
  <c r="EK90" s="1"/>
  <c r="EK89" s="1"/>
  <c r="BD58"/>
  <c r="EL100" s="1"/>
  <c r="EL99" s="1"/>
  <c r="EL98" s="1"/>
  <c r="EL97" s="1"/>
  <c r="EL96" s="1"/>
  <c r="EL95" s="1"/>
  <c r="EL94" s="1"/>
  <c r="EL93" s="1"/>
  <c r="EL92" s="1"/>
  <c r="EL91" s="1"/>
  <c r="EL90" s="1"/>
  <c r="EL89" s="1"/>
  <c r="BE58"/>
  <c r="EM100" s="1"/>
  <c r="EM99" s="1"/>
  <c r="EM98" s="1"/>
  <c r="EM97" s="1"/>
  <c r="EM96" s="1"/>
  <c r="EM95" s="1"/>
  <c r="EM94" s="1"/>
  <c r="EM93" s="1"/>
  <c r="EM92" s="1"/>
  <c r="EM91" s="1"/>
  <c r="EM90" s="1"/>
  <c r="EM89" s="1"/>
  <c r="BF58"/>
  <c r="EN100" s="1"/>
  <c r="EN99" s="1"/>
  <c r="EN98" s="1"/>
  <c r="EN97" s="1"/>
  <c r="EN96" s="1"/>
  <c r="EN95" s="1"/>
  <c r="EN94" s="1"/>
  <c r="EN93" s="1"/>
  <c r="EN92" s="1"/>
  <c r="EN91" s="1"/>
  <c r="EN90" s="1"/>
  <c r="EN89" s="1"/>
  <c r="BG58"/>
  <c r="EO100" s="1"/>
  <c r="EO99" s="1"/>
  <c r="EO98" s="1"/>
  <c r="EO97" s="1"/>
  <c r="EO96" s="1"/>
  <c r="EO95" s="1"/>
  <c r="EO94" s="1"/>
  <c r="EO93" s="1"/>
  <c r="EO92" s="1"/>
  <c r="EO91" s="1"/>
  <c r="EO90" s="1"/>
  <c r="EO89" s="1"/>
  <c r="BH58"/>
  <c r="EP100" s="1"/>
  <c r="EP99" s="1"/>
  <c r="EP98" s="1"/>
  <c r="EP97" s="1"/>
  <c r="EP96" s="1"/>
  <c r="EP95" s="1"/>
  <c r="EP94" s="1"/>
  <c r="EP93" s="1"/>
  <c r="EP92" s="1"/>
  <c r="EP91" s="1"/>
  <c r="EP90" s="1"/>
  <c r="EP89" s="1"/>
  <c r="BJ58"/>
  <c r="ER100" s="1"/>
  <c r="BK58"/>
  <c r="ES100" s="1"/>
  <c r="BL58"/>
  <c r="ET100" s="1"/>
  <c r="BM58"/>
  <c r="BN58"/>
  <c r="BO58"/>
  <c r="BP58"/>
  <c r="BQ58"/>
  <c r="BR58"/>
  <c r="BS58"/>
  <c r="BT58"/>
  <c r="BU58"/>
  <c r="BV58"/>
  <c r="AW59"/>
  <c r="AX59"/>
  <c r="EF59" s="1"/>
  <c r="AY59"/>
  <c r="AZ59"/>
  <c r="BA59"/>
  <c r="BB59"/>
  <c r="BC59"/>
  <c r="BD59"/>
  <c r="BE59"/>
  <c r="BF59"/>
  <c r="BG59"/>
  <c r="BH59"/>
  <c r="BI59"/>
  <c r="BJ59"/>
  <c r="BK59"/>
  <c r="AX46"/>
  <c r="EF46" s="1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AX45"/>
  <c r="EF45" s="1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AW45"/>
  <c r="AW46"/>
  <c r="AX44"/>
  <c r="EF44" s="1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AW44"/>
  <c r="EC125"/>
  <c r="EC124"/>
  <c r="EC123" s="1"/>
  <c r="EC122" s="1"/>
  <c r="EC121" s="1"/>
  <c r="EC120" s="1"/>
  <c r="EC119" s="1"/>
  <c r="EC118" s="1"/>
  <c r="EC117" s="1"/>
  <c r="EC116" s="1"/>
  <c r="EC115" s="1"/>
  <c r="EC114" s="1"/>
  <c r="EC113" s="1"/>
  <c r="EC112" s="1"/>
  <c r="EC111" s="1"/>
  <c r="EC110" s="1"/>
  <c r="EC109" s="1"/>
  <c r="EC108" s="1"/>
  <c r="EC107" s="1"/>
  <c r="EC106" s="1"/>
  <c r="EC105" s="1"/>
  <c r="EC104" s="1"/>
  <c r="EC103" s="1"/>
  <c r="EC102" s="1"/>
  <c r="EC101" s="1"/>
  <c r="EC100" s="1"/>
  <c r="EC99" s="1"/>
  <c r="EC98" s="1"/>
  <c r="EC97" s="1"/>
  <c r="EC96" s="1"/>
  <c r="EC95" s="1"/>
  <c r="EC94" s="1"/>
  <c r="EC93" s="1"/>
  <c r="EC92" s="1"/>
  <c r="EC91" s="1"/>
  <c r="EC90" s="1"/>
  <c r="EC89" s="1"/>
  <c r="EC88" s="1"/>
  <c r="EC87" s="1"/>
  <c r="EC86" s="1"/>
  <c r="EC81"/>
  <c r="EC80" s="1"/>
  <c r="EC79" s="1"/>
  <c r="EC78" s="1"/>
  <c r="EC77" s="1"/>
  <c r="EC76" s="1"/>
  <c r="EC75" s="1"/>
  <c r="EC74" s="1"/>
  <c r="EC73" s="1"/>
  <c r="EC72" s="1"/>
  <c r="EC71" s="1"/>
  <c r="EC70" s="1"/>
  <c r="EC69" s="1"/>
  <c r="EC68" s="1"/>
  <c r="EC67" s="1"/>
  <c r="EC66" s="1"/>
  <c r="EC65" s="1"/>
  <c r="EC64" s="1"/>
  <c r="EC63" s="1"/>
  <c r="EC62" s="1"/>
  <c r="EC61" s="1"/>
  <c r="EC60" s="1"/>
  <c r="EC59" s="1"/>
  <c r="EC58" s="1"/>
  <c r="EC57" s="1"/>
  <c r="EC56" s="1"/>
  <c r="EC55" s="1"/>
  <c r="EC54" s="1"/>
  <c r="EC53" s="1"/>
  <c r="EC52" s="1"/>
  <c r="EC51" s="1"/>
  <c r="EC50" s="1"/>
  <c r="EC49" s="1"/>
  <c r="EC48" s="1"/>
  <c r="EC47" s="1"/>
  <c r="EC46" s="1"/>
  <c r="EC45" s="1"/>
  <c r="EC44" s="1"/>
  <c r="EC82"/>
  <c r="EC83"/>
  <c r="EX119" l="1"/>
  <c r="EX118" s="1"/>
  <c r="EX117" s="1"/>
  <c r="EX116" s="1"/>
  <c r="FS116"/>
  <c r="EG45"/>
  <c r="EH45" s="1"/>
  <c r="EI45" s="1"/>
  <c r="EJ45" s="1"/>
  <c r="EK45" s="1"/>
  <c r="EL45" s="1"/>
  <c r="EM45" s="1"/>
  <c r="EN45" s="1"/>
  <c r="EO45" s="1"/>
  <c r="EP45" s="1"/>
  <c r="EQ45" s="1"/>
  <c r="ER45" s="1"/>
  <c r="ES45" s="1"/>
  <c r="ET45" s="1"/>
  <c r="EU45" s="1"/>
  <c r="EV45" s="1"/>
  <c r="EW45" s="1"/>
  <c r="EX45" s="1"/>
  <c r="EY45" s="1"/>
  <c r="EZ45" s="1"/>
  <c r="FA45" s="1"/>
  <c r="FB45" s="1"/>
  <c r="FC45" s="1"/>
  <c r="ES99"/>
  <c r="ES98" s="1"/>
  <c r="ES97" s="1"/>
  <c r="ES96" s="1"/>
  <c r="ES95" s="1"/>
  <c r="ES94" s="1"/>
  <c r="ES93" s="1"/>
  <c r="ES92" s="1"/>
  <c r="ES91" s="1"/>
  <c r="ES90" s="1"/>
  <c r="ES89" s="1"/>
  <c r="EG57"/>
  <c r="EG56"/>
  <c r="EH56" s="1"/>
  <c r="EI56" s="1"/>
  <c r="EJ56" s="1"/>
  <c r="EK56" s="1"/>
  <c r="EL56" s="1"/>
  <c r="EM56" s="1"/>
  <c r="EN56" s="1"/>
  <c r="EO56" s="1"/>
  <c r="EP56" s="1"/>
  <c r="EQ56" s="1"/>
  <c r="ER56" s="1"/>
  <c r="ES56" s="1"/>
  <c r="ET56" s="1"/>
  <c r="EU56" s="1"/>
  <c r="EV56" s="1"/>
  <c r="EW56" s="1"/>
  <c r="EX56" s="1"/>
  <c r="EY56" s="1"/>
  <c r="EZ56" s="1"/>
  <c r="FA56" s="1"/>
  <c r="FB56" s="1"/>
  <c r="FC56" s="1"/>
  <c r="EG55"/>
  <c r="EG54"/>
  <c r="EH54" s="1"/>
  <c r="EI54" s="1"/>
  <c r="EJ54" s="1"/>
  <c r="EK54" s="1"/>
  <c r="EL54" s="1"/>
  <c r="EM54" s="1"/>
  <c r="EN54" s="1"/>
  <c r="EO54" s="1"/>
  <c r="EP54" s="1"/>
  <c r="EQ54" s="1"/>
  <c r="ER54" s="1"/>
  <c r="ES54" s="1"/>
  <c r="ET54" s="1"/>
  <c r="EU54" s="1"/>
  <c r="EV54" s="1"/>
  <c r="EW54" s="1"/>
  <c r="EX54" s="1"/>
  <c r="EY54" s="1"/>
  <c r="EZ54" s="1"/>
  <c r="FA54" s="1"/>
  <c r="FB54" s="1"/>
  <c r="FC54" s="1"/>
  <c r="AE54" s="1"/>
  <c r="EG53"/>
  <c r="FB115"/>
  <c r="FB114" s="1"/>
  <c r="FB113" s="1"/>
  <c r="FB112" s="1"/>
  <c r="FB111" s="1"/>
  <c r="FB110" s="1"/>
  <c r="FB109" s="1"/>
  <c r="FB108" s="1"/>
  <c r="FB107" s="1"/>
  <c r="FB106" s="1"/>
  <c r="FB105" s="1"/>
  <c r="FB104" s="1"/>
  <c r="FB103" s="1"/>
  <c r="FB102" s="1"/>
  <c r="EZ115"/>
  <c r="EZ114" s="1"/>
  <c r="EZ113" s="1"/>
  <c r="EZ112" s="1"/>
  <c r="EZ111" s="1"/>
  <c r="EZ110" s="1"/>
  <c r="EZ109" s="1"/>
  <c r="EZ108" s="1"/>
  <c r="EZ107" s="1"/>
  <c r="EZ106" s="1"/>
  <c r="EZ105" s="1"/>
  <c r="EZ104" s="1"/>
  <c r="EZ103" s="1"/>
  <c r="EZ102" s="1"/>
  <c r="EX115"/>
  <c r="EX114" s="1"/>
  <c r="EX113" s="1"/>
  <c r="EX112" s="1"/>
  <c r="EX111" s="1"/>
  <c r="EX110" s="1"/>
  <c r="EX109" s="1"/>
  <c r="EX108" s="1"/>
  <c r="EX107" s="1"/>
  <c r="EX106" s="1"/>
  <c r="EX105" s="1"/>
  <c r="EX104" s="1"/>
  <c r="EX103" s="1"/>
  <c r="EX102" s="1"/>
  <c r="EV115"/>
  <c r="EV114" s="1"/>
  <c r="EV113" s="1"/>
  <c r="EV112" s="1"/>
  <c r="EV111" s="1"/>
  <c r="EV110" s="1"/>
  <c r="EV109" s="1"/>
  <c r="EV108" s="1"/>
  <c r="EV107" s="1"/>
  <c r="EV106" s="1"/>
  <c r="EV105" s="1"/>
  <c r="EV104" s="1"/>
  <c r="EV103" s="1"/>
  <c r="EV102" s="1"/>
  <c r="ET115"/>
  <c r="ET114" s="1"/>
  <c r="ET113" s="1"/>
  <c r="ET112" s="1"/>
  <c r="ET111" s="1"/>
  <c r="ET110" s="1"/>
  <c r="ET109" s="1"/>
  <c r="ET108" s="1"/>
  <c r="ET107" s="1"/>
  <c r="ET106" s="1"/>
  <c r="ET105" s="1"/>
  <c r="ET104" s="1"/>
  <c r="ET103" s="1"/>
  <c r="ET102" s="1"/>
  <c r="FQ124"/>
  <c r="FQ123" s="1"/>
  <c r="FQ122" s="1"/>
  <c r="FQ121" s="1"/>
  <c r="FQ120" s="1"/>
  <c r="FQ119" s="1"/>
  <c r="FQ118" s="1"/>
  <c r="FQ117" s="1"/>
  <c r="FQ116" s="1"/>
  <c r="FO124"/>
  <c r="FO123" s="1"/>
  <c r="FO122" s="1"/>
  <c r="FO121" s="1"/>
  <c r="FO120" s="1"/>
  <c r="FO119" s="1"/>
  <c r="FO118" s="1"/>
  <c r="FO117" s="1"/>
  <c r="FO116" s="1"/>
  <c r="FM124"/>
  <c r="FM123" s="1"/>
  <c r="FM122" s="1"/>
  <c r="FM121" s="1"/>
  <c r="FM120" s="1"/>
  <c r="FM119" s="1"/>
  <c r="FM118" s="1"/>
  <c r="FM117" s="1"/>
  <c r="FM116" s="1"/>
  <c r="FK124"/>
  <c r="FK123" s="1"/>
  <c r="FK122" s="1"/>
  <c r="FK121" s="1"/>
  <c r="FK120" s="1"/>
  <c r="FK119" s="1"/>
  <c r="FK118" s="1"/>
  <c r="FK117" s="1"/>
  <c r="AL116" s="1"/>
  <c r="AL117" s="1"/>
  <c r="AL118" s="1"/>
  <c r="AL119" s="1"/>
  <c r="AL120" s="1"/>
  <c r="AL121" s="1"/>
  <c r="AL122" s="1"/>
  <c r="AL123" s="1"/>
  <c r="AL124" s="1"/>
  <c r="AL125" s="1"/>
  <c r="AL126" s="1"/>
  <c r="FI124"/>
  <c r="FI123" s="1"/>
  <c r="FI122" s="1"/>
  <c r="FI121" s="1"/>
  <c r="FI120" s="1"/>
  <c r="FI119" s="1"/>
  <c r="FI118" s="1"/>
  <c r="FI117" s="1"/>
  <c r="FI116" s="1"/>
  <c r="FG124"/>
  <c r="FG123" s="1"/>
  <c r="FG122" s="1"/>
  <c r="FG121" s="1"/>
  <c r="FG120" s="1"/>
  <c r="FG119" s="1"/>
  <c r="FG118" s="1"/>
  <c r="FG117" s="1"/>
  <c r="FG116" s="1"/>
  <c r="FE124"/>
  <c r="FE123" s="1"/>
  <c r="FE122" s="1"/>
  <c r="FE121" s="1"/>
  <c r="FE120" s="1"/>
  <c r="FE119" s="1"/>
  <c r="FE118" s="1"/>
  <c r="FE117" s="1"/>
  <c r="FE116" s="1"/>
  <c r="ET99"/>
  <c r="ET98" s="1"/>
  <c r="ET97" s="1"/>
  <c r="ET96" s="1"/>
  <c r="ET95" s="1"/>
  <c r="ET94" s="1"/>
  <c r="ET93" s="1"/>
  <c r="ET92" s="1"/>
  <c r="ET91" s="1"/>
  <c r="ET90" s="1"/>
  <c r="ET89" s="1"/>
  <c r="ER99"/>
  <c r="ER98" s="1"/>
  <c r="ER97" s="1"/>
  <c r="ER96" s="1"/>
  <c r="ER95" s="1"/>
  <c r="ER94" s="1"/>
  <c r="ER93" s="1"/>
  <c r="ER92" s="1"/>
  <c r="ER91" s="1"/>
  <c r="ER90" s="1"/>
  <c r="ER89" s="1"/>
  <c r="FC115"/>
  <c r="FC114" s="1"/>
  <c r="FC113" s="1"/>
  <c r="FC112" s="1"/>
  <c r="FC111" s="1"/>
  <c r="FC110" s="1"/>
  <c r="FC109" s="1"/>
  <c r="FC108" s="1"/>
  <c r="FC107" s="1"/>
  <c r="FC106" s="1"/>
  <c r="FC105" s="1"/>
  <c r="FC104" s="1"/>
  <c r="FC103" s="1"/>
  <c r="FC102" s="1"/>
  <c r="FC101" s="1"/>
  <c r="FC100" s="1"/>
  <c r="FC99" s="1"/>
  <c r="FC98" s="1"/>
  <c r="FC97" s="1"/>
  <c r="FC96" s="1"/>
  <c r="FC95" s="1"/>
  <c r="FC94" s="1"/>
  <c r="FC93" s="1"/>
  <c r="FC92" s="1"/>
  <c r="FC91" s="1"/>
  <c r="FC90" s="1"/>
  <c r="FC89" s="1"/>
  <c r="FC88" s="1"/>
  <c r="FC87" s="1"/>
  <c r="FA115"/>
  <c r="FA114" s="1"/>
  <c r="FA113" s="1"/>
  <c r="FA112" s="1"/>
  <c r="FA111" s="1"/>
  <c r="FA110" s="1"/>
  <c r="FA109" s="1"/>
  <c r="FA108" s="1"/>
  <c r="FA107" s="1"/>
  <c r="FA106" s="1"/>
  <c r="FA105" s="1"/>
  <c r="FA104" s="1"/>
  <c r="FA103" s="1"/>
  <c r="FA102" s="1"/>
  <c r="FA101" s="1"/>
  <c r="FA100" s="1"/>
  <c r="FA99" s="1"/>
  <c r="FA98" s="1"/>
  <c r="FA97" s="1"/>
  <c r="FA96" s="1"/>
  <c r="FA95" s="1"/>
  <c r="FA94" s="1"/>
  <c r="FA93" s="1"/>
  <c r="FA92" s="1"/>
  <c r="FA91" s="1"/>
  <c r="FA90" s="1"/>
  <c r="FA89" s="1"/>
  <c r="FA88" s="1"/>
  <c r="FA87" s="1"/>
  <c r="EY115"/>
  <c r="EY114" s="1"/>
  <c r="EY113" s="1"/>
  <c r="EY112" s="1"/>
  <c r="EY111" s="1"/>
  <c r="EY110" s="1"/>
  <c r="EY109" s="1"/>
  <c r="EY108" s="1"/>
  <c r="EY107" s="1"/>
  <c r="EY106" s="1"/>
  <c r="EY105" s="1"/>
  <c r="EY104" s="1"/>
  <c r="EY103" s="1"/>
  <c r="EY102" s="1"/>
  <c r="EW115"/>
  <c r="EW114" s="1"/>
  <c r="EW113" s="1"/>
  <c r="EW112" s="1"/>
  <c r="EW111" s="1"/>
  <c r="EW110" s="1"/>
  <c r="EW109" s="1"/>
  <c r="EW108" s="1"/>
  <c r="EW107" s="1"/>
  <c r="EW106" s="1"/>
  <c r="EW105" s="1"/>
  <c r="EW104" s="1"/>
  <c r="EW103" s="1"/>
  <c r="EW102" s="1"/>
  <c r="EW101" s="1"/>
  <c r="EW100" s="1"/>
  <c r="EW99" s="1"/>
  <c r="EW98" s="1"/>
  <c r="EW97" s="1"/>
  <c r="EW96" s="1"/>
  <c r="EW95" s="1"/>
  <c r="EW94" s="1"/>
  <c r="EW93" s="1"/>
  <c r="EW92" s="1"/>
  <c r="EW91" s="1"/>
  <c r="EW90" s="1"/>
  <c r="EW89" s="1"/>
  <c r="EW88" s="1"/>
  <c r="EW87" s="1"/>
  <c r="EU115"/>
  <c r="EU114" s="1"/>
  <c r="EU113" s="1"/>
  <c r="EU112" s="1"/>
  <c r="EU111" s="1"/>
  <c r="EU110" s="1"/>
  <c r="EU109" s="1"/>
  <c r="EU108" s="1"/>
  <c r="EU107" s="1"/>
  <c r="EU106" s="1"/>
  <c r="EU105" s="1"/>
  <c r="EU104" s="1"/>
  <c r="EU103" s="1"/>
  <c r="EU102" s="1"/>
  <c r="EU101" s="1"/>
  <c r="EU100" s="1"/>
  <c r="EU99" s="1"/>
  <c r="EU98" s="1"/>
  <c r="EU97" s="1"/>
  <c r="EU96" s="1"/>
  <c r="EU95" s="1"/>
  <c r="EU94" s="1"/>
  <c r="EU93" s="1"/>
  <c r="EU92" s="1"/>
  <c r="EU91" s="1"/>
  <c r="EU90" s="1"/>
  <c r="EU89" s="1"/>
  <c r="EU88" s="1"/>
  <c r="EU87" s="1"/>
  <c r="FR124"/>
  <c r="FR123" s="1"/>
  <c r="FR122" s="1"/>
  <c r="FR121" s="1"/>
  <c r="FR120" s="1"/>
  <c r="FR119" s="1"/>
  <c r="FR118" s="1"/>
  <c r="FR117" s="1"/>
  <c r="FR116" s="1"/>
  <c r="FP124"/>
  <c r="FP123" s="1"/>
  <c r="FP122" s="1"/>
  <c r="FP121" s="1"/>
  <c r="FP120" s="1"/>
  <c r="FP119" s="1"/>
  <c r="FP118" s="1"/>
  <c r="FP117" s="1"/>
  <c r="FP116" s="1"/>
  <c r="FN124"/>
  <c r="FN123" s="1"/>
  <c r="FN122" s="1"/>
  <c r="FN121" s="1"/>
  <c r="FN120" s="1"/>
  <c r="FN119" s="1"/>
  <c r="FN118" s="1"/>
  <c r="FN117" s="1"/>
  <c r="FN116" s="1"/>
  <c r="EV84"/>
  <c r="EV82"/>
  <c r="EW82" s="1"/>
  <c r="EX82" s="1"/>
  <c r="EY82" s="1"/>
  <c r="EZ82" s="1"/>
  <c r="FA82" s="1"/>
  <c r="FB82" s="1"/>
  <c r="FC82" s="1"/>
  <c r="FD82" s="1"/>
  <c r="FE82" s="1"/>
  <c r="FF82" s="1"/>
  <c r="FG82" s="1"/>
  <c r="FH82" s="1"/>
  <c r="FI82" s="1"/>
  <c r="FJ82" s="1"/>
  <c r="FK82" s="1"/>
  <c r="FL82" s="1"/>
  <c r="FM82" s="1"/>
  <c r="FN82" s="1"/>
  <c r="FO82" s="1"/>
  <c r="FP82" s="1"/>
  <c r="FQ82" s="1"/>
  <c r="FR82" s="1"/>
  <c r="EV81"/>
  <c r="EV80"/>
  <c r="EW80" s="1"/>
  <c r="EX80" s="1"/>
  <c r="EY80" s="1"/>
  <c r="EZ80" s="1"/>
  <c r="FA80" s="1"/>
  <c r="FB80" s="1"/>
  <c r="FC80" s="1"/>
  <c r="FD80" s="1"/>
  <c r="FE80" s="1"/>
  <c r="FF80" s="1"/>
  <c r="FG80" s="1"/>
  <c r="FH80" s="1"/>
  <c r="FI80" s="1"/>
  <c r="FJ80" s="1"/>
  <c r="FK80" s="1"/>
  <c r="FL80" s="1"/>
  <c r="FM80" s="1"/>
  <c r="FN80" s="1"/>
  <c r="FO80" s="1"/>
  <c r="FP80" s="1"/>
  <c r="FQ80" s="1"/>
  <c r="FR80" s="1"/>
  <c r="EV79"/>
  <c r="EW79" s="1"/>
  <c r="EX79" s="1"/>
  <c r="EY79" s="1"/>
  <c r="EZ79" s="1"/>
  <c r="FA79" s="1"/>
  <c r="FB79" s="1"/>
  <c r="FC79" s="1"/>
  <c r="FD79" s="1"/>
  <c r="FE79" s="1"/>
  <c r="FF79" s="1"/>
  <c r="FG79" s="1"/>
  <c r="FH79" s="1"/>
  <c r="FI79" s="1"/>
  <c r="FJ79" s="1"/>
  <c r="FK79" s="1"/>
  <c r="FL79" s="1"/>
  <c r="FM79" s="1"/>
  <c r="FN79" s="1"/>
  <c r="FO79" s="1"/>
  <c r="FP79" s="1"/>
  <c r="FQ79" s="1"/>
  <c r="FR79" s="1"/>
  <c r="EV78"/>
  <c r="EW78" s="1"/>
  <c r="EX78" s="1"/>
  <c r="EY78" s="1"/>
  <c r="EZ78" s="1"/>
  <c r="FA78" s="1"/>
  <c r="FB78" s="1"/>
  <c r="FC78" s="1"/>
  <c r="FD78" s="1"/>
  <c r="FE78" s="1"/>
  <c r="FF78" s="1"/>
  <c r="FG78" s="1"/>
  <c r="FH78" s="1"/>
  <c r="FI78" s="1"/>
  <c r="FJ78" s="1"/>
  <c r="FK78" s="1"/>
  <c r="FL78" s="1"/>
  <c r="FM78" s="1"/>
  <c r="FN78" s="1"/>
  <c r="FO78" s="1"/>
  <c r="FP78" s="1"/>
  <c r="FQ78" s="1"/>
  <c r="FR78" s="1"/>
  <c r="EV77"/>
  <c r="EV76"/>
  <c r="EW76" s="1"/>
  <c r="EX76" s="1"/>
  <c r="EY76" s="1"/>
  <c r="EZ76" s="1"/>
  <c r="FA76" s="1"/>
  <c r="FB76" s="1"/>
  <c r="FC76" s="1"/>
  <c r="FD76" s="1"/>
  <c r="FE76" s="1"/>
  <c r="FF76" s="1"/>
  <c r="FG76" s="1"/>
  <c r="FH76" s="1"/>
  <c r="FI76" s="1"/>
  <c r="FJ76" s="1"/>
  <c r="FK76" s="1"/>
  <c r="FL76" s="1"/>
  <c r="FM76" s="1"/>
  <c r="FN76" s="1"/>
  <c r="FO76" s="1"/>
  <c r="FP76" s="1"/>
  <c r="FQ76" s="1"/>
  <c r="FR76" s="1"/>
  <c r="EV75"/>
  <c r="EW75" s="1"/>
  <c r="EX75" s="1"/>
  <c r="EY75" s="1"/>
  <c r="EZ75" s="1"/>
  <c r="FA75" s="1"/>
  <c r="FB75" s="1"/>
  <c r="FC75" s="1"/>
  <c r="FD75" s="1"/>
  <c r="FE75" s="1"/>
  <c r="FF75" s="1"/>
  <c r="FG75" s="1"/>
  <c r="FH75" s="1"/>
  <c r="FI75" s="1"/>
  <c r="FJ75" s="1"/>
  <c r="FK75" s="1"/>
  <c r="FL75" s="1"/>
  <c r="FM75" s="1"/>
  <c r="FN75" s="1"/>
  <c r="FO75" s="1"/>
  <c r="FP75" s="1"/>
  <c r="FQ75" s="1"/>
  <c r="FR75" s="1"/>
  <c r="EV74"/>
  <c r="EW74" s="1"/>
  <c r="EX74" s="1"/>
  <c r="EY74" s="1"/>
  <c r="EZ74" s="1"/>
  <c r="FA74" s="1"/>
  <c r="FB74" s="1"/>
  <c r="FC74" s="1"/>
  <c r="EV72"/>
  <c r="EV70"/>
  <c r="EW70" s="1"/>
  <c r="EX70" s="1"/>
  <c r="EY70" s="1"/>
  <c r="EZ70" s="1"/>
  <c r="FA70" s="1"/>
  <c r="FB70" s="1"/>
  <c r="FC70" s="1"/>
  <c r="EV68"/>
  <c r="EW68" s="1"/>
  <c r="EX68" s="1"/>
  <c r="EY68" s="1"/>
  <c r="EZ68" s="1"/>
  <c r="FA68" s="1"/>
  <c r="FB68" s="1"/>
  <c r="FC68" s="1"/>
  <c r="EV66"/>
  <c r="EW66" s="1"/>
  <c r="EX66" s="1"/>
  <c r="EY66" s="1"/>
  <c r="EZ66" s="1"/>
  <c r="FA66" s="1"/>
  <c r="FB66" s="1"/>
  <c r="FC66" s="1"/>
  <c r="EV64"/>
  <c r="EV62"/>
  <c r="EW62" s="1"/>
  <c r="EX62" s="1"/>
  <c r="EY62" s="1"/>
  <c r="EZ62" s="1"/>
  <c r="FA62" s="1"/>
  <c r="FB62" s="1"/>
  <c r="FC62" s="1"/>
  <c r="EV60"/>
  <c r="EW60" s="1"/>
  <c r="EX60" s="1"/>
  <c r="EY60" s="1"/>
  <c r="EZ60" s="1"/>
  <c r="FA60" s="1"/>
  <c r="FB60" s="1"/>
  <c r="FC60" s="1"/>
  <c r="FD124"/>
  <c r="FD123" s="1"/>
  <c r="FD122" s="1"/>
  <c r="FD121" s="1"/>
  <c r="FD120" s="1"/>
  <c r="FD119" s="1"/>
  <c r="FD118" s="1"/>
  <c r="FD117" s="1"/>
  <c r="AE116" s="1"/>
  <c r="AE117" s="1"/>
  <c r="AE118" s="1"/>
  <c r="AE119" s="1"/>
  <c r="AE120" s="1"/>
  <c r="AE121" s="1"/>
  <c r="AE122" s="1"/>
  <c r="AE123" s="1"/>
  <c r="AE124" s="1"/>
  <c r="AE125" s="1"/>
  <c r="AE126" s="1"/>
  <c r="FL124"/>
  <c r="FL123" s="1"/>
  <c r="FL122" s="1"/>
  <c r="FL121" s="1"/>
  <c r="FL120" s="1"/>
  <c r="FL119" s="1"/>
  <c r="FL118" s="1"/>
  <c r="FL117" s="1"/>
  <c r="AM116" s="1"/>
  <c r="AM117" s="1"/>
  <c r="AM118" s="1"/>
  <c r="AM119" s="1"/>
  <c r="AM120" s="1"/>
  <c r="AM121" s="1"/>
  <c r="AM122" s="1"/>
  <c r="AM123" s="1"/>
  <c r="AM124" s="1"/>
  <c r="AM125" s="1"/>
  <c r="AM126" s="1"/>
  <c r="FJ124"/>
  <c r="FJ123" s="1"/>
  <c r="FJ122" s="1"/>
  <c r="FJ121" s="1"/>
  <c r="FJ120" s="1"/>
  <c r="FJ119" s="1"/>
  <c r="FJ118" s="1"/>
  <c r="FJ117" s="1"/>
  <c r="FJ116" s="1"/>
  <c r="FH124"/>
  <c r="FH123" s="1"/>
  <c r="FH122" s="1"/>
  <c r="FH121" s="1"/>
  <c r="FH120" s="1"/>
  <c r="FH119" s="1"/>
  <c r="FH118" s="1"/>
  <c r="FH117" s="1"/>
  <c r="AI116" s="1"/>
  <c r="AI117" s="1"/>
  <c r="AI118" s="1"/>
  <c r="AI119" s="1"/>
  <c r="AI120" s="1"/>
  <c r="AI121" s="1"/>
  <c r="AI122" s="1"/>
  <c r="AI123" s="1"/>
  <c r="AI124" s="1"/>
  <c r="AI125" s="1"/>
  <c r="AI126" s="1"/>
  <c r="FF124"/>
  <c r="FF123" s="1"/>
  <c r="FF122" s="1"/>
  <c r="FF121" s="1"/>
  <c r="FF120" s="1"/>
  <c r="FF119" s="1"/>
  <c r="FF118" s="1"/>
  <c r="FF117" s="1"/>
  <c r="AG116" s="1"/>
  <c r="AG117" s="1"/>
  <c r="AG118" s="1"/>
  <c r="AG119" s="1"/>
  <c r="AG120" s="1"/>
  <c r="AG121" s="1"/>
  <c r="AG122" s="1"/>
  <c r="AG123" s="1"/>
  <c r="AG124" s="1"/>
  <c r="AG125" s="1"/>
  <c r="AG126" s="1"/>
  <c r="EG52"/>
  <c r="EH52" s="1"/>
  <c r="EI52" s="1"/>
  <c r="EJ52" s="1"/>
  <c r="EK52" s="1"/>
  <c r="EL52" s="1"/>
  <c r="EM52" s="1"/>
  <c r="EN52" s="1"/>
  <c r="EO52" s="1"/>
  <c r="EP52" s="1"/>
  <c r="EQ52" s="1"/>
  <c r="ER52" s="1"/>
  <c r="ES52" s="1"/>
  <c r="ET52" s="1"/>
  <c r="EU52" s="1"/>
  <c r="EV52" s="1"/>
  <c r="EW52" s="1"/>
  <c r="EX52" s="1"/>
  <c r="EY52" s="1"/>
  <c r="EZ52" s="1"/>
  <c r="FA52" s="1"/>
  <c r="FB52" s="1"/>
  <c r="FC52" s="1"/>
  <c r="AE52" s="1"/>
  <c r="EG51"/>
  <c r="EH51" s="1"/>
  <c r="EI51" s="1"/>
  <c r="EJ51" s="1"/>
  <c r="EK51" s="1"/>
  <c r="EL51" s="1"/>
  <c r="EM51" s="1"/>
  <c r="EN51" s="1"/>
  <c r="EO51" s="1"/>
  <c r="EP51" s="1"/>
  <c r="EQ51" s="1"/>
  <c r="ER51" s="1"/>
  <c r="ES51" s="1"/>
  <c r="ET51" s="1"/>
  <c r="EU51" s="1"/>
  <c r="EV51" s="1"/>
  <c r="EW51" s="1"/>
  <c r="EX51" s="1"/>
  <c r="EY51" s="1"/>
  <c r="EZ51" s="1"/>
  <c r="FA51" s="1"/>
  <c r="FB51" s="1"/>
  <c r="FC51" s="1"/>
  <c r="AE51" s="1"/>
  <c r="EG50"/>
  <c r="EH50" s="1"/>
  <c r="EI50" s="1"/>
  <c r="EJ50" s="1"/>
  <c r="EK50" s="1"/>
  <c r="EL50" s="1"/>
  <c r="EM50" s="1"/>
  <c r="EN50" s="1"/>
  <c r="EO50" s="1"/>
  <c r="EP50" s="1"/>
  <c r="EQ50" s="1"/>
  <c r="ER50" s="1"/>
  <c r="ES50" s="1"/>
  <c r="ET50" s="1"/>
  <c r="EU50" s="1"/>
  <c r="EV50" s="1"/>
  <c r="EW50" s="1"/>
  <c r="EX50" s="1"/>
  <c r="EY50" s="1"/>
  <c r="EZ50" s="1"/>
  <c r="FA50" s="1"/>
  <c r="FB50" s="1"/>
  <c r="FC50" s="1"/>
  <c r="AE50" s="1"/>
  <c r="EG49"/>
  <c r="EH49" s="1"/>
  <c r="EI49" s="1"/>
  <c r="EJ49" s="1"/>
  <c r="EK49" s="1"/>
  <c r="EL49" s="1"/>
  <c r="EM49" s="1"/>
  <c r="EN49" s="1"/>
  <c r="EO49" s="1"/>
  <c r="EP49" s="1"/>
  <c r="EQ49" s="1"/>
  <c r="ER49" s="1"/>
  <c r="ES49" s="1"/>
  <c r="ET49" s="1"/>
  <c r="EU49" s="1"/>
  <c r="EV49" s="1"/>
  <c r="EW49" s="1"/>
  <c r="EX49" s="1"/>
  <c r="EY49" s="1"/>
  <c r="EZ49" s="1"/>
  <c r="FA49" s="1"/>
  <c r="FB49" s="1"/>
  <c r="FC49" s="1"/>
  <c r="AE49" s="1"/>
  <c r="EH57"/>
  <c r="EI57" s="1"/>
  <c r="EJ57" s="1"/>
  <c r="EK57" s="1"/>
  <c r="EL57" s="1"/>
  <c r="EM57" s="1"/>
  <c r="EN57" s="1"/>
  <c r="EO57" s="1"/>
  <c r="EP57" s="1"/>
  <c r="EQ57" s="1"/>
  <c r="ER57" s="1"/>
  <c r="ES57" s="1"/>
  <c r="ET57" s="1"/>
  <c r="EU57" s="1"/>
  <c r="EV57" s="1"/>
  <c r="EW57" s="1"/>
  <c r="EX57" s="1"/>
  <c r="EY57" s="1"/>
  <c r="EZ57" s="1"/>
  <c r="FA57" s="1"/>
  <c r="FB57" s="1"/>
  <c r="FC57" s="1"/>
  <c r="FD57" s="1"/>
  <c r="EH55"/>
  <c r="EI55" s="1"/>
  <c r="EJ55" s="1"/>
  <c r="EK55" s="1"/>
  <c r="EL55" s="1"/>
  <c r="EM55" s="1"/>
  <c r="EN55" s="1"/>
  <c r="EO55" s="1"/>
  <c r="EP55" s="1"/>
  <c r="EQ55" s="1"/>
  <c r="ER55" s="1"/>
  <c r="ES55" s="1"/>
  <c r="ET55" s="1"/>
  <c r="EU55" s="1"/>
  <c r="EV55" s="1"/>
  <c r="EW55" s="1"/>
  <c r="EX55" s="1"/>
  <c r="EY55" s="1"/>
  <c r="EZ55" s="1"/>
  <c r="FA55" s="1"/>
  <c r="FB55" s="1"/>
  <c r="FC55" s="1"/>
  <c r="FD55" s="1"/>
  <c r="EH53"/>
  <c r="EI53" s="1"/>
  <c r="EJ53" s="1"/>
  <c r="EK53" s="1"/>
  <c r="EL53" s="1"/>
  <c r="EM53" s="1"/>
  <c r="EN53" s="1"/>
  <c r="EO53" s="1"/>
  <c r="EP53" s="1"/>
  <c r="EQ53" s="1"/>
  <c r="ER53" s="1"/>
  <c r="ES53" s="1"/>
  <c r="ET53" s="1"/>
  <c r="EU53" s="1"/>
  <c r="EV53" s="1"/>
  <c r="EW53" s="1"/>
  <c r="EX53" s="1"/>
  <c r="EY53" s="1"/>
  <c r="EZ53" s="1"/>
  <c r="FA53" s="1"/>
  <c r="FB53" s="1"/>
  <c r="FC53" s="1"/>
  <c r="AE53" s="1"/>
  <c r="EG48"/>
  <c r="EH48" s="1"/>
  <c r="EI48" s="1"/>
  <c r="EJ48" s="1"/>
  <c r="EK48" s="1"/>
  <c r="EL48" s="1"/>
  <c r="EM48" s="1"/>
  <c r="EN48" s="1"/>
  <c r="EO48" s="1"/>
  <c r="EP48" s="1"/>
  <c r="EQ48" s="1"/>
  <c r="ER48" s="1"/>
  <c r="ES48" s="1"/>
  <c r="ET48" s="1"/>
  <c r="EU48" s="1"/>
  <c r="EV48" s="1"/>
  <c r="EW48" s="1"/>
  <c r="EX48" s="1"/>
  <c r="EY48" s="1"/>
  <c r="EZ48" s="1"/>
  <c r="FA48" s="1"/>
  <c r="FB48" s="1"/>
  <c r="FC48" s="1"/>
  <c r="AE48" s="1"/>
  <c r="EG47"/>
  <c r="EH47" s="1"/>
  <c r="EI47" s="1"/>
  <c r="EJ47" s="1"/>
  <c r="EK47" s="1"/>
  <c r="EL47" s="1"/>
  <c r="EM47" s="1"/>
  <c r="EN47" s="1"/>
  <c r="EO47" s="1"/>
  <c r="EP47" s="1"/>
  <c r="EQ47" s="1"/>
  <c r="ER47" s="1"/>
  <c r="ES47" s="1"/>
  <c r="ET47" s="1"/>
  <c r="EU47" s="1"/>
  <c r="EV47" s="1"/>
  <c r="EW47" s="1"/>
  <c r="EX47" s="1"/>
  <c r="EY47" s="1"/>
  <c r="EZ47" s="1"/>
  <c r="FA47" s="1"/>
  <c r="FB47" s="1"/>
  <c r="FC47" s="1"/>
  <c r="FD47" s="1"/>
  <c r="EG44"/>
  <c r="EH44" s="1"/>
  <c r="EI44" s="1"/>
  <c r="EJ44" s="1"/>
  <c r="EK44" s="1"/>
  <c r="EL44" s="1"/>
  <c r="EM44" s="1"/>
  <c r="EN44" s="1"/>
  <c r="EO44" s="1"/>
  <c r="EP44" s="1"/>
  <c r="EQ44" s="1"/>
  <c r="ER44" s="1"/>
  <c r="ES44" s="1"/>
  <c r="ET44" s="1"/>
  <c r="EU44" s="1"/>
  <c r="EV44" s="1"/>
  <c r="EW44" s="1"/>
  <c r="EX44" s="1"/>
  <c r="EY44" s="1"/>
  <c r="EZ44" s="1"/>
  <c r="FA44" s="1"/>
  <c r="FB44" s="1"/>
  <c r="FC44" s="1"/>
  <c r="FD44" s="1"/>
  <c r="EG46"/>
  <c r="EH46" s="1"/>
  <c r="EI46" s="1"/>
  <c r="EJ46" s="1"/>
  <c r="EK46" s="1"/>
  <c r="EL46" s="1"/>
  <c r="EM46" s="1"/>
  <c r="EN46" s="1"/>
  <c r="EO46" s="1"/>
  <c r="EP46" s="1"/>
  <c r="EQ46" s="1"/>
  <c r="ER46" s="1"/>
  <c r="ES46" s="1"/>
  <c r="ET46" s="1"/>
  <c r="EU46" s="1"/>
  <c r="EV46" s="1"/>
  <c r="EW46" s="1"/>
  <c r="EX46" s="1"/>
  <c r="EY46" s="1"/>
  <c r="EZ46" s="1"/>
  <c r="FA46" s="1"/>
  <c r="FB46" s="1"/>
  <c r="FC46" s="1"/>
  <c r="FD46" s="1"/>
  <c r="EG59"/>
  <c r="EH59" s="1"/>
  <c r="EI59" s="1"/>
  <c r="EJ59" s="1"/>
  <c r="EK59" s="1"/>
  <c r="EL59" s="1"/>
  <c r="EM59" s="1"/>
  <c r="EN59" s="1"/>
  <c r="EO59" s="1"/>
  <c r="EP59" s="1"/>
  <c r="EQ59" s="1"/>
  <c r="ER59" s="1"/>
  <c r="ES59" s="1"/>
  <c r="EU59" s="1"/>
  <c r="EV59" s="1"/>
  <c r="EW59" s="1"/>
  <c r="EX59" s="1"/>
  <c r="EY59" s="1"/>
  <c r="EZ59" s="1"/>
  <c r="FA59" s="1"/>
  <c r="FB59" s="1"/>
  <c r="FC59" s="1"/>
  <c r="EW84"/>
  <c r="EX84" s="1"/>
  <c r="EY84" s="1"/>
  <c r="EZ84" s="1"/>
  <c r="FA84" s="1"/>
  <c r="FB84" s="1"/>
  <c r="FC84" s="1"/>
  <c r="FD84" s="1"/>
  <c r="FE84" s="1"/>
  <c r="FF84" s="1"/>
  <c r="FG84" s="1"/>
  <c r="FH84" s="1"/>
  <c r="FI84" s="1"/>
  <c r="FJ84" s="1"/>
  <c r="FK84" s="1"/>
  <c r="FL84" s="1"/>
  <c r="FM84" s="1"/>
  <c r="FN84" s="1"/>
  <c r="FO84" s="1"/>
  <c r="FP84" s="1"/>
  <c r="FQ84" s="1"/>
  <c r="FR84" s="1"/>
  <c r="FS84" s="1"/>
  <c r="AS116"/>
  <c r="AS117" s="1"/>
  <c r="AS118" s="1"/>
  <c r="AS119" s="1"/>
  <c r="AS120" s="1"/>
  <c r="AS121" s="1"/>
  <c r="AS122" s="1"/>
  <c r="AS123" s="1"/>
  <c r="AS124" s="1"/>
  <c r="AS125" s="1"/>
  <c r="AS126" s="1"/>
  <c r="AQ116"/>
  <c r="AQ117" s="1"/>
  <c r="AQ118" s="1"/>
  <c r="AQ119" s="1"/>
  <c r="AQ120" s="1"/>
  <c r="AQ121" s="1"/>
  <c r="AQ122" s="1"/>
  <c r="AQ123" s="1"/>
  <c r="AQ124" s="1"/>
  <c r="AQ125" s="1"/>
  <c r="AQ126" s="1"/>
  <c r="AO116"/>
  <c r="AO117" s="1"/>
  <c r="AO118" s="1"/>
  <c r="AO119" s="1"/>
  <c r="AO120" s="1"/>
  <c r="AO121" s="1"/>
  <c r="AO122" s="1"/>
  <c r="AO123" s="1"/>
  <c r="AO124" s="1"/>
  <c r="AO125" s="1"/>
  <c r="AO126" s="1"/>
  <c r="FL116"/>
  <c r="ET88"/>
  <c r="ET87" s="1"/>
  <c r="ER88"/>
  <c r="ER87" s="1"/>
  <c r="EO88"/>
  <c r="EO87" s="1"/>
  <c r="EM88"/>
  <c r="EM87" s="1"/>
  <c r="EK88"/>
  <c r="EK87" s="1"/>
  <c r="EI88"/>
  <c r="EI87" s="1"/>
  <c r="EG88"/>
  <c r="EG87" s="1"/>
  <c r="EY101"/>
  <c r="EY100" s="1"/>
  <c r="EY99" s="1"/>
  <c r="EY98" s="1"/>
  <c r="EY97" s="1"/>
  <c r="EY96" s="1"/>
  <c r="EY95" s="1"/>
  <c r="EY94" s="1"/>
  <c r="EY93" s="1"/>
  <c r="EY92" s="1"/>
  <c r="EY91" s="1"/>
  <c r="EY90" s="1"/>
  <c r="EY89" s="1"/>
  <c r="EY88" s="1"/>
  <c r="EY87" s="1"/>
  <c r="EW81"/>
  <c r="EX81" s="1"/>
  <c r="EY81" s="1"/>
  <c r="EZ81" s="1"/>
  <c r="FA81" s="1"/>
  <c r="FB81" s="1"/>
  <c r="FC81" s="1"/>
  <c r="FD81" s="1"/>
  <c r="FE81" s="1"/>
  <c r="FF81" s="1"/>
  <c r="FG81" s="1"/>
  <c r="FH81" s="1"/>
  <c r="FI81" s="1"/>
  <c r="FJ81" s="1"/>
  <c r="FK81" s="1"/>
  <c r="FL81" s="1"/>
  <c r="FM81" s="1"/>
  <c r="FN81" s="1"/>
  <c r="FO81" s="1"/>
  <c r="FP81" s="1"/>
  <c r="FQ81" s="1"/>
  <c r="FR81" s="1"/>
  <c r="EW77"/>
  <c r="EX77" s="1"/>
  <c r="EY77" s="1"/>
  <c r="EZ77" s="1"/>
  <c r="FA77" s="1"/>
  <c r="FB77" s="1"/>
  <c r="FC77" s="1"/>
  <c r="FD77" s="1"/>
  <c r="FE77" s="1"/>
  <c r="FF77" s="1"/>
  <c r="FG77" s="1"/>
  <c r="FH77" s="1"/>
  <c r="FI77" s="1"/>
  <c r="FJ77" s="1"/>
  <c r="FK77" s="1"/>
  <c r="FL77" s="1"/>
  <c r="FM77" s="1"/>
  <c r="FN77" s="1"/>
  <c r="FO77" s="1"/>
  <c r="FP77" s="1"/>
  <c r="FQ77" s="1"/>
  <c r="FR77" s="1"/>
  <c r="EW72"/>
  <c r="EX72" s="1"/>
  <c r="EY72" s="1"/>
  <c r="EZ72" s="1"/>
  <c r="FA72" s="1"/>
  <c r="FB72" s="1"/>
  <c r="FC72" s="1"/>
  <c r="EW64"/>
  <c r="EX64" s="1"/>
  <c r="EY64" s="1"/>
  <c r="EZ64" s="1"/>
  <c r="FA64" s="1"/>
  <c r="FB64" s="1"/>
  <c r="FC64" s="1"/>
  <c r="EF58"/>
  <c r="EG58" s="1"/>
  <c r="EH58" s="1"/>
  <c r="EI58" s="1"/>
  <c r="EJ58" s="1"/>
  <c r="EK58" s="1"/>
  <c r="EL58" s="1"/>
  <c r="EM58" s="1"/>
  <c r="EN58" s="1"/>
  <c r="EO58" s="1"/>
  <c r="EP58" s="1"/>
  <c r="EQ58" s="1"/>
  <c r="ER58" s="1"/>
  <c r="ES58" s="1"/>
  <c r="ET58" s="1"/>
  <c r="EU58" s="1"/>
  <c r="EV58" s="1"/>
  <c r="EW58" s="1"/>
  <c r="EX58" s="1"/>
  <c r="EY58" s="1"/>
  <c r="EZ58" s="1"/>
  <c r="FA58" s="1"/>
  <c r="FB58" s="1"/>
  <c r="FC58" s="1"/>
  <c r="EU83"/>
  <c r="EV83" s="1"/>
  <c r="EW83" s="1"/>
  <c r="EX83" s="1"/>
  <c r="EY83" s="1"/>
  <c r="EZ83" s="1"/>
  <c r="FA83" s="1"/>
  <c r="FB83" s="1"/>
  <c r="FC83" s="1"/>
  <c r="FD83" s="1"/>
  <c r="FE83" s="1"/>
  <c r="FF83" s="1"/>
  <c r="FG83" s="1"/>
  <c r="FH83" s="1"/>
  <c r="FI83" s="1"/>
  <c r="FJ83" s="1"/>
  <c r="FK83" s="1"/>
  <c r="FL83" s="1"/>
  <c r="FM83" s="1"/>
  <c r="FN83" s="1"/>
  <c r="FO83" s="1"/>
  <c r="FP83" s="1"/>
  <c r="FQ83" s="1"/>
  <c r="FR83" s="1"/>
  <c r="AR116"/>
  <c r="AR117" s="1"/>
  <c r="AR118" s="1"/>
  <c r="AR119" s="1"/>
  <c r="AR120" s="1"/>
  <c r="AR121" s="1"/>
  <c r="AR122" s="1"/>
  <c r="AR123" s="1"/>
  <c r="AR124" s="1"/>
  <c r="AR125" s="1"/>
  <c r="AR126" s="1"/>
  <c r="AP116"/>
  <c r="AP117" s="1"/>
  <c r="AP118" s="1"/>
  <c r="AP119" s="1"/>
  <c r="AP120" s="1"/>
  <c r="AP121" s="1"/>
  <c r="AP122" s="1"/>
  <c r="AP123" s="1"/>
  <c r="AP124" s="1"/>
  <c r="AP125" s="1"/>
  <c r="AP126" s="1"/>
  <c r="AN116"/>
  <c r="AN117" s="1"/>
  <c r="AN118" s="1"/>
  <c r="AN119" s="1"/>
  <c r="AN120" s="1"/>
  <c r="AN121" s="1"/>
  <c r="AN122" s="1"/>
  <c r="AN123" s="1"/>
  <c r="AN124" s="1"/>
  <c r="AN125" s="1"/>
  <c r="AN126" s="1"/>
  <c r="FK116"/>
  <c r="AJ116"/>
  <c r="AJ117" s="1"/>
  <c r="AJ118" s="1"/>
  <c r="AJ119" s="1"/>
  <c r="AJ120" s="1"/>
  <c r="AJ121" s="1"/>
  <c r="AJ122" s="1"/>
  <c r="AJ123" s="1"/>
  <c r="AJ124" s="1"/>
  <c r="AJ125" s="1"/>
  <c r="AJ126" s="1"/>
  <c r="AH116"/>
  <c r="AH117" s="1"/>
  <c r="AH118" s="1"/>
  <c r="AH119" s="1"/>
  <c r="AH120" s="1"/>
  <c r="AH121" s="1"/>
  <c r="AH122" s="1"/>
  <c r="AH123" s="1"/>
  <c r="AH124" s="1"/>
  <c r="AH125" s="1"/>
  <c r="AH126" s="1"/>
  <c r="AF116"/>
  <c r="AF117" s="1"/>
  <c r="AF118" s="1"/>
  <c r="AF119" s="1"/>
  <c r="AF120" s="1"/>
  <c r="AF121" s="1"/>
  <c r="AF122" s="1"/>
  <c r="AF123" s="1"/>
  <c r="AF124" s="1"/>
  <c r="AF125" s="1"/>
  <c r="AF126" s="1"/>
  <c r="ES88"/>
  <c r="ES87" s="1"/>
  <c r="EP88"/>
  <c r="EP87" s="1"/>
  <c r="EN88"/>
  <c r="EN87" s="1"/>
  <c r="EL88"/>
  <c r="EL87" s="1"/>
  <c r="EJ88"/>
  <c r="EJ87" s="1"/>
  <c r="EH88"/>
  <c r="EH87" s="1"/>
  <c r="EF88"/>
  <c r="EF87" s="1"/>
  <c r="EQ99"/>
  <c r="EQ98" s="1"/>
  <c r="EQ97" s="1"/>
  <c r="EQ96" s="1"/>
  <c r="EQ95" s="1"/>
  <c r="EQ94" s="1"/>
  <c r="EQ93" s="1"/>
  <c r="EQ92" s="1"/>
  <c r="EQ91" s="1"/>
  <c r="EQ90" s="1"/>
  <c r="EQ89" s="1"/>
  <c r="EQ88" s="1"/>
  <c r="EQ87" s="1"/>
  <c r="FB101"/>
  <c r="FB100" s="1"/>
  <c r="FB99" s="1"/>
  <c r="FB98" s="1"/>
  <c r="FB97" s="1"/>
  <c r="FB96" s="1"/>
  <c r="FB95" s="1"/>
  <c r="FB94" s="1"/>
  <c r="FB93" s="1"/>
  <c r="FB92" s="1"/>
  <c r="FB91" s="1"/>
  <c r="FB90" s="1"/>
  <c r="FB89" s="1"/>
  <c r="FB88" s="1"/>
  <c r="FB87" s="1"/>
  <c r="EZ101"/>
  <c r="EZ100" s="1"/>
  <c r="EZ99" s="1"/>
  <c r="EZ98" s="1"/>
  <c r="EZ97" s="1"/>
  <c r="EZ96" s="1"/>
  <c r="EZ95" s="1"/>
  <c r="EZ94" s="1"/>
  <c r="EZ93" s="1"/>
  <c r="EZ92" s="1"/>
  <c r="EZ91" s="1"/>
  <c r="EZ90" s="1"/>
  <c r="EZ89" s="1"/>
  <c r="EZ88" s="1"/>
  <c r="EZ87" s="1"/>
  <c r="EX101"/>
  <c r="EX100" s="1"/>
  <c r="EX99" s="1"/>
  <c r="EX98" s="1"/>
  <c r="EX97" s="1"/>
  <c r="EX96" s="1"/>
  <c r="EX95" s="1"/>
  <c r="EX94" s="1"/>
  <c r="EX93" s="1"/>
  <c r="EX92" s="1"/>
  <c r="EX91" s="1"/>
  <c r="EX90" s="1"/>
  <c r="EX89" s="1"/>
  <c r="EX88" s="1"/>
  <c r="EX87" s="1"/>
  <c r="EV101"/>
  <c r="EV100" s="1"/>
  <c r="EV99" s="1"/>
  <c r="EV98" s="1"/>
  <c r="EV97" s="1"/>
  <c r="EV96" s="1"/>
  <c r="EV95" s="1"/>
  <c r="EV94" s="1"/>
  <c r="EV93" s="1"/>
  <c r="EV92" s="1"/>
  <c r="EV91" s="1"/>
  <c r="EV90" s="1"/>
  <c r="EV89" s="1"/>
  <c r="EV88" s="1"/>
  <c r="EV87" s="1"/>
  <c r="EV73"/>
  <c r="EW73" s="1"/>
  <c r="EX73" s="1"/>
  <c r="EY73" s="1"/>
  <c r="EZ73" s="1"/>
  <c r="FA73" s="1"/>
  <c r="FB73" s="1"/>
  <c r="FC73" s="1"/>
  <c r="EV71"/>
  <c r="EW71" s="1"/>
  <c r="EX71" s="1"/>
  <c r="EY71" s="1"/>
  <c r="EZ71" s="1"/>
  <c r="FA71" s="1"/>
  <c r="FB71" s="1"/>
  <c r="FC71" s="1"/>
  <c r="EV69"/>
  <c r="EW69" s="1"/>
  <c r="EX69" s="1"/>
  <c r="EY69" s="1"/>
  <c r="EZ69" s="1"/>
  <c r="FA69" s="1"/>
  <c r="FB69" s="1"/>
  <c r="FC69" s="1"/>
  <c r="EV67"/>
  <c r="EW67" s="1"/>
  <c r="EX67" s="1"/>
  <c r="EY67" s="1"/>
  <c r="EZ67" s="1"/>
  <c r="FA67" s="1"/>
  <c r="FB67" s="1"/>
  <c r="FC67" s="1"/>
  <c r="EV65"/>
  <c r="EW65" s="1"/>
  <c r="EX65" s="1"/>
  <c r="EY65" s="1"/>
  <c r="EZ65" s="1"/>
  <c r="FA65" s="1"/>
  <c r="FB65" s="1"/>
  <c r="FC65" s="1"/>
  <c r="EV63"/>
  <c r="EW63" s="1"/>
  <c r="EX63" s="1"/>
  <c r="EY63" s="1"/>
  <c r="EZ63" s="1"/>
  <c r="FA63" s="1"/>
  <c r="FB63" s="1"/>
  <c r="FC63" s="1"/>
  <c r="EV61"/>
  <c r="EW61" s="1"/>
  <c r="EX61" s="1"/>
  <c r="EY61" s="1"/>
  <c r="EZ61" s="1"/>
  <c r="FA61" s="1"/>
  <c r="FB61" s="1"/>
  <c r="FC61" s="1"/>
  <c r="H43"/>
  <c r="J43"/>
  <c r="L43"/>
  <c r="N43"/>
  <c r="P43"/>
  <c r="R43"/>
  <c r="T43"/>
  <c r="V43"/>
  <c r="X43"/>
  <c r="Z43"/>
  <c r="AB43"/>
  <c r="AD43"/>
  <c r="AF43"/>
  <c r="AH43"/>
  <c r="AJ43"/>
  <c r="AL43"/>
  <c r="AN43"/>
  <c r="AP43"/>
  <c r="AR43"/>
  <c r="AT43"/>
  <c r="C11"/>
  <c r="C24" s="1"/>
  <c r="C10"/>
  <c r="C20" s="1"/>
  <c r="FD53" l="1"/>
  <c r="FD48"/>
  <c r="AE56"/>
  <c r="FD56"/>
  <c r="FH116"/>
  <c r="FF116"/>
  <c r="AK116"/>
  <c r="AK117" s="1"/>
  <c r="AK118" s="1"/>
  <c r="AK119" s="1"/>
  <c r="AK120" s="1"/>
  <c r="AK121" s="1"/>
  <c r="AK122" s="1"/>
  <c r="AK123" s="1"/>
  <c r="AK124" s="1"/>
  <c r="AK125" s="1"/>
  <c r="AK126" s="1"/>
  <c r="FD116"/>
  <c r="FD115" s="1"/>
  <c r="FD114" s="1"/>
  <c r="FD113" s="1"/>
  <c r="FD112" s="1"/>
  <c r="FD111" s="1"/>
  <c r="FD110" s="1"/>
  <c r="FD109" s="1"/>
  <c r="FD108" s="1"/>
  <c r="FD107" s="1"/>
  <c r="FD106" s="1"/>
  <c r="FD105" s="1"/>
  <c r="FD104" s="1"/>
  <c r="FD103" s="1"/>
  <c r="FD102" s="1"/>
  <c r="FD101" s="1"/>
  <c r="FD100" s="1"/>
  <c r="FD99" s="1"/>
  <c r="FD98" s="1"/>
  <c r="FD97" s="1"/>
  <c r="FD96" s="1"/>
  <c r="FD95" s="1"/>
  <c r="FD94" s="1"/>
  <c r="FD93" s="1"/>
  <c r="FD92" s="1"/>
  <c r="FD91" s="1"/>
  <c r="FD90" s="1"/>
  <c r="FD89" s="1"/>
  <c r="FD88" s="1"/>
  <c r="FD87" s="1"/>
  <c r="FD86" s="1"/>
  <c r="AE45"/>
  <c r="FD45"/>
  <c r="AE55"/>
  <c r="AE57"/>
  <c r="BV99" s="1"/>
  <c r="FD49"/>
  <c r="AS84"/>
  <c r="CJ126" s="1"/>
  <c r="FD51"/>
  <c r="AE46"/>
  <c r="BV88" s="1"/>
  <c r="AE47"/>
  <c r="FD52"/>
  <c r="FD54"/>
  <c r="AE44"/>
  <c r="AD44" s="1"/>
  <c r="FD50"/>
  <c r="AE59"/>
  <c r="BV101" s="1"/>
  <c r="FD61"/>
  <c r="AE61"/>
  <c r="FD65"/>
  <c r="AE65"/>
  <c r="FD69"/>
  <c r="AE69"/>
  <c r="FD73"/>
  <c r="AE73"/>
  <c r="EX86"/>
  <c r="Y86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Y105" s="1"/>
  <c r="Y106" s="1"/>
  <c r="Y107" s="1"/>
  <c r="Y108" s="1"/>
  <c r="Y109" s="1"/>
  <c r="Y110" s="1"/>
  <c r="Y111" s="1"/>
  <c r="Y112" s="1"/>
  <c r="Y113" s="1"/>
  <c r="Y114" s="1"/>
  <c r="Y115" s="1"/>
  <c r="Y116" s="1"/>
  <c r="Y117" s="1"/>
  <c r="Y118" s="1"/>
  <c r="Y119" s="1"/>
  <c r="Y120" s="1"/>
  <c r="Y121" s="1"/>
  <c r="Y122" s="1"/>
  <c r="Y123" s="1"/>
  <c r="Y124" s="1"/>
  <c r="Y125" s="1"/>
  <c r="Y126" s="1"/>
  <c r="FB86"/>
  <c r="AC86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AC105" s="1"/>
  <c r="AC106" s="1"/>
  <c r="AC107" s="1"/>
  <c r="AC108" s="1"/>
  <c r="AC109" s="1"/>
  <c r="AC110" s="1"/>
  <c r="AC111" s="1"/>
  <c r="AC112" s="1"/>
  <c r="AC113" s="1"/>
  <c r="AC114" s="1"/>
  <c r="AC115" s="1"/>
  <c r="AC116" s="1"/>
  <c r="AC117" s="1"/>
  <c r="AC118" s="1"/>
  <c r="AC119" s="1"/>
  <c r="AC120" s="1"/>
  <c r="AC121" s="1"/>
  <c r="AC122" s="1"/>
  <c r="AC123" s="1"/>
  <c r="AC124" s="1"/>
  <c r="AC125" s="1"/>
  <c r="AC126" s="1"/>
  <c r="EF86"/>
  <c r="G86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EJ86"/>
  <c r="K86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EN86"/>
  <c r="O86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ES86"/>
  <c r="T86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FD58"/>
  <c r="AE58"/>
  <c r="FD62"/>
  <c r="AE62"/>
  <c r="FD66"/>
  <c r="AE66"/>
  <c r="FD70"/>
  <c r="AE70"/>
  <c r="FD74"/>
  <c r="FE74" s="1"/>
  <c r="FF74" s="1"/>
  <c r="FG74" s="1"/>
  <c r="FH74" s="1"/>
  <c r="FI74" s="1"/>
  <c r="FJ74" s="1"/>
  <c r="FK74" s="1"/>
  <c r="FL74" s="1"/>
  <c r="FM74" s="1"/>
  <c r="FN74" s="1"/>
  <c r="FO74" s="1"/>
  <c r="FP74" s="1"/>
  <c r="FQ74" s="1"/>
  <c r="FR74" s="1"/>
  <c r="AE74"/>
  <c r="BV116" s="1"/>
  <c r="FS76"/>
  <c r="AS76"/>
  <c r="FS78"/>
  <c r="AS78"/>
  <c r="FS80"/>
  <c r="AS80"/>
  <c r="FS82"/>
  <c r="AS82"/>
  <c r="EW86"/>
  <c r="X86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X105" s="1"/>
  <c r="X106" s="1"/>
  <c r="X107" s="1"/>
  <c r="X108" s="1"/>
  <c r="X109" s="1"/>
  <c r="X110" s="1"/>
  <c r="X111" s="1"/>
  <c r="X112" s="1"/>
  <c r="X113" s="1"/>
  <c r="X114" s="1"/>
  <c r="X115" s="1"/>
  <c r="X116" s="1"/>
  <c r="X117" s="1"/>
  <c r="X118" s="1"/>
  <c r="X119" s="1"/>
  <c r="X120" s="1"/>
  <c r="X121" s="1"/>
  <c r="X122" s="1"/>
  <c r="X123" s="1"/>
  <c r="X124" s="1"/>
  <c r="X125" s="1"/>
  <c r="X126" s="1"/>
  <c r="FA86"/>
  <c r="AB86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AB105" s="1"/>
  <c r="AB106" s="1"/>
  <c r="AB107" s="1"/>
  <c r="AB108" s="1"/>
  <c r="AB109" s="1"/>
  <c r="AB111" s="1"/>
  <c r="AB112" s="1"/>
  <c r="AB113" s="1"/>
  <c r="AB114" s="1"/>
  <c r="AB115" s="1"/>
  <c r="AB116" s="1"/>
  <c r="AB117" s="1"/>
  <c r="AB118" s="1"/>
  <c r="AB119" s="1"/>
  <c r="AB120" s="1"/>
  <c r="AB121" s="1"/>
  <c r="AB122" s="1"/>
  <c r="AB123" s="1"/>
  <c r="AB124" s="1"/>
  <c r="AB125" s="1"/>
  <c r="AB126" s="1"/>
  <c r="EG86"/>
  <c r="H86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EK86"/>
  <c r="L86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EO86"/>
  <c r="P86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ET86"/>
  <c r="U86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FD63"/>
  <c r="AE63"/>
  <c r="FD67"/>
  <c r="AE67"/>
  <c r="FD71"/>
  <c r="AE71"/>
  <c r="EV86"/>
  <c r="W86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EZ86"/>
  <c r="AA86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AA105" s="1"/>
  <c r="AA106" s="1"/>
  <c r="AA107" s="1"/>
  <c r="AA108" s="1"/>
  <c r="AA109" s="1"/>
  <c r="AA110" s="1"/>
  <c r="AA111" s="1"/>
  <c r="AA112" s="1"/>
  <c r="AA113" s="1"/>
  <c r="AA114" s="1"/>
  <c r="AA115" s="1"/>
  <c r="AA116" s="1"/>
  <c r="AA117" s="1"/>
  <c r="AA118" s="1"/>
  <c r="AA119" s="1"/>
  <c r="AA120" s="1"/>
  <c r="AA121" s="1"/>
  <c r="AA122" s="1"/>
  <c r="AA123" s="1"/>
  <c r="AA124" s="1"/>
  <c r="AA125" s="1"/>
  <c r="AA126" s="1"/>
  <c r="EQ86"/>
  <c r="R86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EH86"/>
  <c r="I86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EL86"/>
  <c r="M86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EP86"/>
  <c r="Q86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FS83"/>
  <c r="AS83"/>
  <c r="FD60"/>
  <c r="AE60"/>
  <c r="FD64"/>
  <c r="AE64"/>
  <c r="FD68"/>
  <c r="AE68"/>
  <c r="FD72"/>
  <c r="AE72"/>
  <c r="FS75"/>
  <c r="AS75"/>
  <c r="FS77"/>
  <c r="AS77"/>
  <c r="FS79"/>
  <c r="AS79"/>
  <c r="FS81"/>
  <c r="AS81"/>
  <c r="EU86"/>
  <c r="V86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V105" s="1"/>
  <c r="V106" s="1"/>
  <c r="V107" s="1"/>
  <c r="V108" s="1"/>
  <c r="V109" s="1"/>
  <c r="V110" s="1"/>
  <c r="V111" s="1"/>
  <c r="V112" s="1"/>
  <c r="V113" s="1"/>
  <c r="V114" s="1"/>
  <c r="V115" s="1"/>
  <c r="V116" s="1"/>
  <c r="V117" s="1"/>
  <c r="V118" s="1"/>
  <c r="V119" s="1"/>
  <c r="V120" s="1"/>
  <c r="V121" s="1"/>
  <c r="V122" s="1"/>
  <c r="V123" s="1"/>
  <c r="V124" s="1"/>
  <c r="V125" s="1"/>
  <c r="V126" s="1"/>
  <c r="EY86"/>
  <c r="Z86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Z105" s="1"/>
  <c r="Z106" s="1"/>
  <c r="Z107" s="1"/>
  <c r="Z108" s="1"/>
  <c r="Z109" s="1"/>
  <c r="Z110" s="1"/>
  <c r="Z111" s="1"/>
  <c r="Z112" s="1"/>
  <c r="Z113" s="1"/>
  <c r="Z114" s="1"/>
  <c r="Z115" s="1"/>
  <c r="Z116" s="1"/>
  <c r="Z117" s="1"/>
  <c r="Z118" s="1"/>
  <c r="Z119" s="1"/>
  <c r="Z120" s="1"/>
  <c r="Z121" s="1"/>
  <c r="Z122" s="1"/>
  <c r="Z123" s="1"/>
  <c r="Z124" s="1"/>
  <c r="Z125" s="1"/>
  <c r="Z126" s="1"/>
  <c r="FC86"/>
  <c r="AD86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AD105" s="1"/>
  <c r="AD106" s="1"/>
  <c r="AD107" s="1"/>
  <c r="AD108" s="1"/>
  <c r="AD109" s="1"/>
  <c r="AD110" s="1"/>
  <c r="AD111" s="1"/>
  <c r="AD112" s="1"/>
  <c r="AD113" s="1"/>
  <c r="AD114" s="1"/>
  <c r="AD115" s="1"/>
  <c r="AD116" s="1"/>
  <c r="AD117" s="1"/>
  <c r="AD118" s="1"/>
  <c r="AD119" s="1"/>
  <c r="AD120" s="1"/>
  <c r="AD121" s="1"/>
  <c r="AD122" s="1"/>
  <c r="AD123" s="1"/>
  <c r="AD124" s="1"/>
  <c r="AD125" s="1"/>
  <c r="AD126" s="1"/>
  <c r="EI86"/>
  <c r="J86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EM86"/>
  <c r="N86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ER86"/>
  <c r="S86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AD52"/>
  <c r="BV94"/>
  <c r="BV97"/>
  <c r="AD55"/>
  <c r="BV87"/>
  <c r="AD45"/>
  <c r="BV89"/>
  <c r="AD47"/>
  <c r="AD48"/>
  <c r="BV90"/>
  <c r="BV91"/>
  <c r="AD49"/>
  <c r="BV92"/>
  <c r="AD50"/>
  <c r="BV93"/>
  <c r="AD51"/>
  <c r="BV95"/>
  <c r="AD53"/>
  <c r="AD54"/>
  <c r="BV96"/>
  <c r="AD56"/>
  <c r="BV98"/>
  <c r="FD59"/>
  <c r="C25"/>
  <c r="C26"/>
  <c r="C22"/>
  <c r="C21"/>
  <c r="E40"/>
  <c r="E38"/>
  <c r="E36"/>
  <c r="E34"/>
  <c r="E32"/>
  <c r="E30"/>
  <c r="E28"/>
  <c r="E26"/>
  <c r="E24"/>
  <c r="E22"/>
  <c r="E20"/>
  <c r="E18"/>
  <c r="E16"/>
  <c r="E14"/>
  <c r="E12"/>
  <c r="E10"/>
  <c r="E8"/>
  <c r="E6"/>
  <c r="E4"/>
  <c r="E2"/>
  <c r="E41"/>
  <c r="E39"/>
  <c r="E37"/>
  <c r="E35"/>
  <c r="E33"/>
  <c r="E31"/>
  <c r="E29"/>
  <c r="E27"/>
  <c r="E25"/>
  <c r="E23"/>
  <c r="E21"/>
  <c r="E19"/>
  <c r="E17"/>
  <c r="E15"/>
  <c r="E13"/>
  <c r="E11"/>
  <c r="E9"/>
  <c r="E7"/>
  <c r="E5"/>
  <c r="E3"/>
  <c r="G43"/>
  <c r="AS43"/>
  <c r="AQ43"/>
  <c r="AO43"/>
  <c r="AM43"/>
  <c r="AK43"/>
  <c r="AI43"/>
  <c r="AG43"/>
  <c r="AE43"/>
  <c r="AC43"/>
  <c r="AA43"/>
  <c r="Y43"/>
  <c r="W43"/>
  <c r="U43"/>
  <c r="S43"/>
  <c r="Q43"/>
  <c r="O43"/>
  <c r="M43"/>
  <c r="K43"/>
  <c r="I43"/>
  <c r="AE86" l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AE113" s="1"/>
  <c r="AE114" s="1"/>
  <c r="AE115" s="1"/>
  <c r="AD57"/>
  <c r="BU99" s="1"/>
  <c r="AD46"/>
  <c r="BU88" s="1"/>
  <c r="BV86"/>
  <c r="AR84"/>
  <c r="CI126" s="1"/>
  <c r="AC51"/>
  <c r="BU93"/>
  <c r="AC49"/>
  <c r="BU91"/>
  <c r="AC47"/>
  <c r="BU89"/>
  <c r="AC57"/>
  <c r="CJ123"/>
  <c r="AR81"/>
  <c r="CJ119"/>
  <c r="AR77"/>
  <c r="AD72"/>
  <c r="BV114"/>
  <c r="AR82"/>
  <c r="CJ124"/>
  <c r="CJ122"/>
  <c r="AR80"/>
  <c r="AR78"/>
  <c r="CJ120"/>
  <c r="CJ118"/>
  <c r="AR76"/>
  <c r="AD70"/>
  <c r="BV112"/>
  <c r="AD66"/>
  <c r="BV108"/>
  <c r="AD62"/>
  <c r="BV104"/>
  <c r="AC56"/>
  <c r="BU98"/>
  <c r="AC54"/>
  <c r="BU96"/>
  <c r="AC48"/>
  <c r="BU90"/>
  <c r="AC52"/>
  <c r="BU94"/>
  <c r="AC44"/>
  <c r="BU86"/>
  <c r="FS74"/>
  <c r="AS74"/>
  <c r="AD59"/>
  <c r="AC53"/>
  <c r="BU95"/>
  <c r="AC50"/>
  <c r="BU92"/>
  <c r="AC45"/>
  <c r="BU87"/>
  <c r="AC55"/>
  <c r="BU97"/>
  <c r="AR79"/>
  <c r="CJ121"/>
  <c r="AR75"/>
  <c r="CJ117"/>
  <c r="AD68"/>
  <c r="BV110"/>
  <c r="AD64"/>
  <c r="BV106"/>
  <c r="AD60"/>
  <c r="BV102"/>
  <c r="AR83"/>
  <c r="CJ125"/>
  <c r="BV113"/>
  <c r="AD71"/>
  <c r="BV109"/>
  <c r="AD67"/>
  <c r="BV105"/>
  <c r="AD63"/>
  <c r="U10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BV115"/>
  <c r="AD73"/>
  <c r="BV111"/>
  <c r="AD69"/>
  <c r="BV107"/>
  <c r="AD65"/>
  <c r="BV103"/>
  <c r="AD61"/>
  <c r="BV100"/>
  <c r="AD58"/>
  <c r="AC46" l="1"/>
  <c r="BT88" s="1"/>
  <c r="AQ84"/>
  <c r="AP84" s="1"/>
  <c r="CI125"/>
  <c r="AQ83"/>
  <c r="AC60"/>
  <c r="BU102"/>
  <c r="AC64"/>
  <c r="BU106"/>
  <c r="AC68"/>
  <c r="BU110"/>
  <c r="CI117"/>
  <c r="AQ75"/>
  <c r="CI121"/>
  <c r="AQ79"/>
  <c r="AB46"/>
  <c r="AB55"/>
  <c r="BT97"/>
  <c r="AB45"/>
  <c r="BT87"/>
  <c r="AB50"/>
  <c r="BT92"/>
  <c r="AB53"/>
  <c r="BT95"/>
  <c r="AR74"/>
  <c r="CJ116"/>
  <c r="AQ76"/>
  <c r="CI118"/>
  <c r="AQ80"/>
  <c r="CI122"/>
  <c r="CI119"/>
  <c r="AQ77"/>
  <c r="CI123"/>
  <c r="AQ81"/>
  <c r="AC61"/>
  <c r="BU103"/>
  <c r="AC65"/>
  <c r="BU107"/>
  <c r="AC69"/>
  <c r="BU111"/>
  <c r="AC73"/>
  <c r="BU115"/>
  <c r="AC63"/>
  <c r="BU105"/>
  <c r="AC67"/>
  <c r="BU109"/>
  <c r="AC71"/>
  <c r="BU113"/>
  <c r="BU101"/>
  <c r="AC59"/>
  <c r="AB44"/>
  <c r="BT86"/>
  <c r="AB52"/>
  <c r="BT94"/>
  <c r="AB48"/>
  <c r="BT90"/>
  <c r="AB54"/>
  <c r="BT96"/>
  <c r="AB56"/>
  <c r="BT98"/>
  <c r="AC62"/>
  <c r="BU104"/>
  <c r="AC66"/>
  <c r="BU108"/>
  <c r="AC70"/>
  <c r="BU112"/>
  <c r="AQ78"/>
  <c r="CI120"/>
  <c r="AQ82"/>
  <c r="CI124"/>
  <c r="AC72"/>
  <c r="BU114"/>
  <c r="AB57"/>
  <c r="BT99"/>
  <c r="AB47"/>
  <c r="BT89"/>
  <c r="AB49"/>
  <c r="BT91"/>
  <c r="AB51"/>
  <c r="BT93"/>
  <c r="AC58"/>
  <c r="BU100"/>
  <c r="CH126" l="1"/>
  <c r="AA51"/>
  <c r="BS93"/>
  <c r="AA47"/>
  <c r="BS89"/>
  <c r="AA57"/>
  <c r="BS99"/>
  <c r="AB72"/>
  <c r="BT114"/>
  <c r="AP82"/>
  <c r="CH124"/>
  <c r="AP78"/>
  <c r="CH120"/>
  <c r="AB70"/>
  <c r="BT112"/>
  <c r="AB66"/>
  <c r="BT108"/>
  <c r="AB62"/>
  <c r="BT104"/>
  <c r="AA56"/>
  <c r="BS98"/>
  <c r="AA54"/>
  <c r="BS96"/>
  <c r="AA48"/>
  <c r="BS90"/>
  <c r="AA52"/>
  <c r="BS94"/>
  <c r="AA44"/>
  <c r="BS86"/>
  <c r="AB71"/>
  <c r="BT113"/>
  <c r="AB67"/>
  <c r="BT109"/>
  <c r="AB63"/>
  <c r="BT105"/>
  <c r="AB73"/>
  <c r="BT115"/>
  <c r="AB69"/>
  <c r="BT111"/>
  <c r="AB65"/>
  <c r="BT107"/>
  <c r="AB61"/>
  <c r="BT103"/>
  <c r="AP80"/>
  <c r="CH122"/>
  <c r="AP76"/>
  <c r="CH118"/>
  <c r="AQ74"/>
  <c r="CI116"/>
  <c r="AA53"/>
  <c r="BS95"/>
  <c r="AA50"/>
  <c r="BS92"/>
  <c r="AA45"/>
  <c r="BS87"/>
  <c r="AA55"/>
  <c r="BS97"/>
  <c r="AA46"/>
  <c r="BS88"/>
  <c r="AO84"/>
  <c r="CG126"/>
  <c r="AB68"/>
  <c r="BT110"/>
  <c r="AB64"/>
  <c r="BT106"/>
  <c r="AB60"/>
  <c r="BT102"/>
  <c r="AA49"/>
  <c r="BS91"/>
  <c r="AB59"/>
  <c r="BT101"/>
  <c r="AP81"/>
  <c r="CH123"/>
  <c r="AP77"/>
  <c r="CH119"/>
  <c r="AP79"/>
  <c r="CH121"/>
  <c r="AP75"/>
  <c r="CH117"/>
  <c r="AP83"/>
  <c r="CH125"/>
  <c r="AB58"/>
  <c r="BT100"/>
  <c r="AO83" l="1"/>
  <c r="CG125"/>
  <c r="AO75"/>
  <c r="CG117"/>
  <c r="AO79"/>
  <c r="CG121"/>
  <c r="AO77"/>
  <c r="CG119"/>
  <c r="AO81"/>
  <c r="CG123"/>
  <c r="BS101"/>
  <c r="AA59"/>
  <c r="Z49"/>
  <c r="BR91"/>
  <c r="AA60"/>
  <c r="BS102"/>
  <c r="AA64"/>
  <c r="BS106"/>
  <c r="AA68"/>
  <c r="BS110"/>
  <c r="AN84"/>
  <c r="CF126"/>
  <c r="Z46"/>
  <c r="BR88"/>
  <c r="Z55"/>
  <c r="BR97"/>
  <c r="Z45"/>
  <c r="BR87"/>
  <c r="Z50"/>
  <c r="BR92"/>
  <c r="Z53"/>
  <c r="BR95"/>
  <c r="AP74"/>
  <c r="CH116"/>
  <c r="AO76"/>
  <c r="CG118"/>
  <c r="AO80"/>
  <c r="CG122"/>
  <c r="AA61"/>
  <c r="BS103"/>
  <c r="AA65"/>
  <c r="BS107"/>
  <c r="AA69"/>
  <c r="BS111"/>
  <c r="AA73"/>
  <c r="BS115"/>
  <c r="AA63"/>
  <c r="BS105"/>
  <c r="AA67"/>
  <c r="BS109"/>
  <c r="AA71"/>
  <c r="BS113"/>
  <c r="Z44"/>
  <c r="BR86"/>
  <c r="Z52"/>
  <c r="BR94"/>
  <c r="Z48"/>
  <c r="BR90"/>
  <c r="Z54"/>
  <c r="BR96"/>
  <c r="Z56"/>
  <c r="BR98"/>
  <c r="AA62"/>
  <c r="BS104"/>
  <c r="AA66"/>
  <c r="BS108"/>
  <c r="AA70"/>
  <c r="BS112"/>
  <c r="AO78"/>
  <c r="CG120"/>
  <c r="AO82"/>
  <c r="CG124"/>
  <c r="AA72"/>
  <c r="BS114"/>
  <c r="Z57"/>
  <c r="BR99"/>
  <c r="Z47"/>
  <c r="BR89"/>
  <c r="Z51"/>
  <c r="BR93"/>
  <c r="AA58"/>
  <c r="BS100"/>
  <c r="Y47" l="1"/>
  <c r="BQ89"/>
  <c r="Z72"/>
  <c r="BR114"/>
  <c r="AN78"/>
  <c r="CF120"/>
  <c r="Z66"/>
  <c r="BR108"/>
  <c r="Z62"/>
  <c r="BR104"/>
  <c r="Y54"/>
  <c r="BQ96"/>
  <c r="Y48"/>
  <c r="BQ90"/>
  <c r="Y52"/>
  <c r="BQ94"/>
  <c r="Y44"/>
  <c r="BQ86"/>
  <c r="Z71"/>
  <c r="BR113"/>
  <c r="Z67"/>
  <c r="BR109"/>
  <c r="Z63"/>
  <c r="BR105"/>
  <c r="Z73"/>
  <c r="BR115"/>
  <c r="Z69"/>
  <c r="BR111"/>
  <c r="Z65"/>
  <c r="BR107"/>
  <c r="Z61"/>
  <c r="BR103"/>
  <c r="AN80"/>
  <c r="CF122"/>
  <c r="AN76"/>
  <c r="CF118"/>
  <c r="AO74"/>
  <c r="CG116"/>
  <c r="Y53"/>
  <c r="BQ95"/>
  <c r="Y50"/>
  <c r="BQ92"/>
  <c r="Y45"/>
  <c r="BQ87"/>
  <c r="Y55"/>
  <c r="BQ97"/>
  <c r="Y46"/>
  <c r="BQ88"/>
  <c r="AM84"/>
  <c r="CE126"/>
  <c r="Z68"/>
  <c r="BR110"/>
  <c r="Z64"/>
  <c r="BR106"/>
  <c r="Z60"/>
  <c r="BR102"/>
  <c r="Y49"/>
  <c r="BQ91"/>
  <c r="AN81"/>
  <c r="CF123"/>
  <c r="AN77"/>
  <c r="CF119"/>
  <c r="AN79"/>
  <c r="CF121"/>
  <c r="AN75"/>
  <c r="CF117"/>
  <c r="AN83"/>
  <c r="CF125"/>
  <c r="Y51"/>
  <c r="BQ93"/>
  <c r="Y57"/>
  <c r="BQ99"/>
  <c r="AN82"/>
  <c r="CF124"/>
  <c r="Z70"/>
  <c r="BR112"/>
  <c r="Y56"/>
  <c r="BQ98"/>
  <c r="Z59"/>
  <c r="BR101"/>
  <c r="Z58"/>
  <c r="BR100"/>
  <c r="X56" l="1"/>
  <c r="BP98"/>
  <c r="AM82"/>
  <c r="CE124"/>
  <c r="X51"/>
  <c r="BP93"/>
  <c r="AM75"/>
  <c r="CE117"/>
  <c r="AM79"/>
  <c r="CE121"/>
  <c r="AM77"/>
  <c r="CE119"/>
  <c r="AM81"/>
  <c r="CE123"/>
  <c r="X49"/>
  <c r="BP91"/>
  <c r="Y60"/>
  <c r="BQ102"/>
  <c r="Y64"/>
  <c r="BQ106"/>
  <c r="Y68"/>
  <c r="BQ110"/>
  <c r="AL84"/>
  <c r="CD126"/>
  <c r="X46"/>
  <c r="BP88"/>
  <c r="X55"/>
  <c r="BP97"/>
  <c r="X45"/>
  <c r="BP87"/>
  <c r="X50"/>
  <c r="BP92"/>
  <c r="X53"/>
  <c r="BP95"/>
  <c r="AN74"/>
  <c r="CF116"/>
  <c r="AM76"/>
  <c r="CE118"/>
  <c r="AM80"/>
  <c r="CE122"/>
  <c r="Y61"/>
  <c r="BQ103"/>
  <c r="Y65"/>
  <c r="BQ107"/>
  <c r="Y69"/>
  <c r="BQ111"/>
  <c r="Y73"/>
  <c r="BQ115"/>
  <c r="Y63"/>
  <c r="BQ105"/>
  <c r="Y67"/>
  <c r="BQ109"/>
  <c r="Y71"/>
  <c r="BQ113"/>
  <c r="X44"/>
  <c r="BP86"/>
  <c r="X52"/>
  <c r="BP94"/>
  <c r="X48"/>
  <c r="BP90"/>
  <c r="X54"/>
  <c r="BP96"/>
  <c r="Y62"/>
  <c r="BQ104"/>
  <c r="Y66"/>
  <c r="BQ108"/>
  <c r="AM78"/>
  <c r="CE120"/>
  <c r="Y72"/>
  <c r="BQ114"/>
  <c r="X47"/>
  <c r="BP89"/>
  <c r="BQ101"/>
  <c r="Y59"/>
  <c r="Y70"/>
  <c r="BQ112"/>
  <c r="X57"/>
  <c r="BP99"/>
  <c r="AM83"/>
  <c r="CE125"/>
  <c r="Y58"/>
  <c r="BQ100"/>
  <c r="BP101" l="1"/>
  <c r="X59"/>
  <c r="AL83"/>
  <c r="CD125"/>
  <c r="W57"/>
  <c r="BO99"/>
  <c r="X70"/>
  <c r="BP112"/>
  <c r="W47"/>
  <c r="BO89"/>
  <c r="X72"/>
  <c r="BP114"/>
  <c r="AL78"/>
  <c r="CD120"/>
  <c r="X66"/>
  <c r="BP108"/>
  <c r="X62"/>
  <c r="BP104"/>
  <c r="W54"/>
  <c r="BO96"/>
  <c r="W48"/>
  <c r="BO90"/>
  <c r="W52"/>
  <c r="BO94"/>
  <c r="W44"/>
  <c r="BO86"/>
  <c r="X71"/>
  <c r="BP113"/>
  <c r="X67"/>
  <c r="BP109"/>
  <c r="X63"/>
  <c r="BP105"/>
  <c r="X73"/>
  <c r="BP115"/>
  <c r="X69"/>
  <c r="BP111"/>
  <c r="X65"/>
  <c r="BP107"/>
  <c r="X61"/>
  <c r="BP103"/>
  <c r="AL80"/>
  <c r="CD122"/>
  <c r="AL76"/>
  <c r="CD118"/>
  <c r="AM74"/>
  <c r="CE116"/>
  <c r="W53"/>
  <c r="BO95"/>
  <c r="W50"/>
  <c r="BO92"/>
  <c r="W45"/>
  <c r="BO87"/>
  <c r="W55"/>
  <c r="BO97"/>
  <c r="W46"/>
  <c r="BO88"/>
  <c r="AK84"/>
  <c r="CC126"/>
  <c r="X68"/>
  <c r="BP110"/>
  <c r="X64"/>
  <c r="BP106"/>
  <c r="X60"/>
  <c r="BP102"/>
  <c r="W49"/>
  <c r="BO91"/>
  <c r="AL81"/>
  <c r="CD123"/>
  <c r="AL77"/>
  <c r="CD119"/>
  <c r="AL79"/>
  <c r="CD121"/>
  <c r="AL75"/>
  <c r="CD117"/>
  <c r="W51"/>
  <c r="BO93"/>
  <c r="AL82"/>
  <c r="CD124"/>
  <c r="W56"/>
  <c r="BO98"/>
  <c r="X58"/>
  <c r="BP100"/>
  <c r="W59" l="1"/>
  <c r="BO101"/>
  <c r="V56"/>
  <c r="BN98"/>
  <c r="AK82"/>
  <c r="CC124"/>
  <c r="V51"/>
  <c r="BN93"/>
  <c r="AK75"/>
  <c r="CC117"/>
  <c r="AK79"/>
  <c r="CC121"/>
  <c r="AK77"/>
  <c r="CC119"/>
  <c r="AK81"/>
  <c r="CC123"/>
  <c r="V49"/>
  <c r="BN91"/>
  <c r="W60"/>
  <c r="BO102"/>
  <c r="W64"/>
  <c r="BO106"/>
  <c r="W68"/>
  <c r="BO110"/>
  <c r="AJ84"/>
  <c r="CB126"/>
  <c r="V46"/>
  <c r="BN88"/>
  <c r="V55"/>
  <c r="BN97"/>
  <c r="V45"/>
  <c r="BN87"/>
  <c r="V50"/>
  <c r="BN92"/>
  <c r="V53"/>
  <c r="BN95"/>
  <c r="AL74"/>
  <c r="CD116"/>
  <c r="AK76"/>
  <c r="CC118"/>
  <c r="AK80"/>
  <c r="CC122"/>
  <c r="W61"/>
  <c r="BO103"/>
  <c r="W65"/>
  <c r="BO107"/>
  <c r="W69"/>
  <c r="BO111"/>
  <c r="W73"/>
  <c r="BO115"/>
  <c r="W63"/>
  <c r="BO105"/>
  <c r="W67"/>
  <c r="BO109"/>
  <c r="W71"/>
  <c r="BO113"/>
  <c r="V44"/>
  <c r="BN86"/>
  <c r="V52"/>
  <c r="BN94"/>
  <c r="V48"/>
  <c r="BN90"/>
  <c r="V54"/>
  <c r="BN96"/>
  <c r="W62"/>
  <c r="BO104"/>
  <c r="W66"/>
  <c r="BO108"/>
  <c r="AK78"/>
  <c r="CC120"/>
  <c r="W72"/>
  <c r="BO114"/>
  <c r="V47"/>
  <c r="BN89"/>
  <c r="W70"/>
  <c r="BO112"/>
  <c r="V57"/>
  <c r="BN99"/>
  <c r="AK83"/>
  <c r="CC125"/>
  <c r="W58"/>
  <c r="BO100"/>
  <c r="AJ83" l="1"/>
  <c r="CB125"/>
  <c r="U57"/>
  <c r="BM99"/>
  <c r="V70"/>
  <c r="BN112"/>
  <c r="U47"/>
  <c r="BM89"/>
  <c r="V72"/>
  <c r="BN114"/>
  <c r="AJ78"/>
  <c r="CB120"/>
  <c r="V66"/>
  <c r="BN108"/>
  <c r="V62"/>
  <c r="BN104"/>
  <c r="U54"/>
  <c r="BM96"/>
  <c r="U48"/>
  <c r="BM90"/>
  <c r="U52"/>
  <c r="BM94"/>
  <c r="U44"/>
  <c r="BM86"/>
  <c r="V71"/>
  <c r="BN113"/>
  <c r="V67"/>
  <c r="BN109"/>
  <c r="V63"/>
  <c r="BN105"/>
  <c r="V73"/>
  <c r="BN115"/>
  <c r="V69"/>
  <c r="BN111"/>
  <c r="V65"/>
  <c r="BN107"/>
  <c r="V61"/>
  <c r="BN103"/>
  <c r="AJ80"/>
  <c r="CB122"/>
  <c r="AJ76"/>
  <c r="CB118"/>
  <c r="AK74"/>
  <c r="CC116"/>
  <c r="U53"/>
  <c r="BM95"/>
  <c r="U50"/>
  <c r="BM92"/>
  <c r="U45"/>
  <c r="BM87"/>
  <c r="U55"/>
  <c r="BM97"/>
  <c r="U46"/>
  <c r="BM88"/>
  <c r="AI84"/>
  <c r="CA126"/>
  <c r="V68"/>
  <c r="BN110"/>
  <c r="V64"/>
  <c r="BN106"/>
  <c r="V60"/>
  <c r="BN102"/>
  <c r="U49"/>
  <c r="BM91"/>
  <c r="AJ81"/>
  <c r="CB123"/>
  <c r="AJ77"/>
  <c r="CB119"/>
  <c r="AJ79"/>
  <c r="CB121"/>
  <c r="AJ75"/>
  <c r="CB117"/>
  <c r="U51"/>
  <c r="BM93"/>
  <c r="AJ82"/>
  <c r="CB124"/>
  <c r="U56"/>
  <c r="BM98"/>
  <c r="V59"/>
  <c r="BN101"/>
  <c r="V58"/>
  <c r="BN100"/>
  <c r="BM101" l="1"/>
  <c r="U59"/>
  <c r="T56"/>
  <c r="BL98"/>
  <c r="AI82"/>
  <c r="CA124"/>
  <c r="T51"/>
  <c r="BL93"/>
  <c r="AI75"/>
  <c r="CA117"/>
  <c r="AI79"/>
  <c r="CA121"/>
  <c r="AI77"/>
  <c r="CA119"/>
  <c r="AI81"/>
  <c r="CA123"/>
  <c r="T49"/>
  <c r="BL91"/>
  <c r="U60"/>
  <c r="BL102" s="1"/>
  <c r="BM102"/>
  <c r="U64"/>
  <c r="BL106" s="1"/>
  <c r="BM106"/>
  <c r="U68"/>
  <c r="BL110" s="1"/>
  <c r="BM110"/>
  <c r="AH84"/>
  <c r="BZ126"/>
  <c r="T46"/>
  <c r="BL88"/>
  <c r="T55"/>
  <c r="BL97"/>
  <c r="T45"/>
  <c r="BL87"/>
  <c r="T50"/>
  <c r="BL92"/>
  <c r="T53"/>
  <c r="BL95"/>
  <c r="AJ74"/>
  <c r="CB116"/>
  <c r="AI76"/>
  <c r="CA118"/>
  <c r="AI80"/>
  <c r="CA122"/>
  <c r="U61"/>
  <c r="BL103" s="1"/>
  <c r="BM103"/>
  <c r="U65"/>
  <c r="BL107" s="1"/>
  <c r="BM107"/>
  <c r="U69"/>
  <c r="BL111" s="1"/>
  <c r="BM111"/>
  <c r="U73"/>
  <c r="BL115" s="1"/>
  <c r="BM115"/>
  <c r="U63"/>
  <c r="BL105" s="1"/>
  <c r="BM105"/>
  <c r="U67"/>
  <c r="BL109" s="1"/>
  <c r="BM109"/>
  <c r="U71"/>
  <c r="BL113" s="1"/>
  <c r="BM113"/>
  <c r="T44"/>
  <c r="BL86"/>
  <c r="T52"/>
  <c r="BL94"/>
  <c r="T48"/>
  <c r="BL90"/>
  <c r="T54"/>
  <c r="BL96"/>
  <c r="U62"/>
  <c r="BL104" s="1"/>
  <c r="BM104"/>
  <c r="U66"/>
  <c r="BL108" s="1"/>
  <c r="BM108"/>
  <c r="AI78"/>
  <c r="CA120"/>
  <c r="U72"/>
  <c r="BL114" s="1"/>
  <c r="BM114"/>
  <c r="T47"/>
  <c r="BL89"/>
  <c r="U70"/>
  <c r="BL112" s="1"/>
  <c r="BM112"/>
  <c r="T57"/>
  <c r="BL99"/>
  <c r="AI83"/>
  <c r="CA125"/>
  <c r="U58"/>
  <c r="BM100"/>
  <c r="AH83" l="1"/>
  <c r="BZ125"/>
  <c r="S57"/>
  <c r="BK99"/>
  <c r="S47"/>
  <c r="BK89"/>
  <c r="AH78"/>
  <c r="BZ120"/>
  <c r="S54"/>
  <c r="BK96"/>
  <c r="S48"/>
  <c r="BK90"/>
  <c r="S52"/>
  <c r="BK94"/>
  <c r="S44"/>
  <c r="BK86"/>
  <c r="AH80"/>
  <c r="BZ122"/>
  <c r="AH76"/>
  <c r="BZ118"/>
  <c r="AI74"/>
  <c r="CA116"/>
  <c r="S53"/>
  <c r="BK95"/>
  <c r="S50"/>
  <c r="BK92"/>
  <c r="S45"/>
  <c r="BK87"/>
  <c r="S55"/>
  <c r="BK97"/>
  <c r="S46"/>
  <c r="BK88"/>
  <c r="AG84"/>
  <c r="BY126"/>
  <c r="S49"/>
  <c r="BK91"/>
  <c r="AH81"/>
  <c r="BZ123"/>
  <c r="AH77"/>
  <c r="BZ119"/>
  <c r="AH79"/>
  <c r="BZ121"/>
  <c r="AH75"/>
  <c r="BZ117"/>
  <c r="S51"/>
  <c r="BK93"/>
  <c r="AH82"/>
  <c r="BZ124"/>
  <c r="S56"/>
  <c r="BK98"/>
  <c r="BL101"/>
  <c r="T59"/>
  <c r="T58"/>
  <c r="BL100"/>
  <c r="S59" l="1"/>
  <c r="BK101"/>
  <c r="R56"/>
  <c r="BJ98"/>
  <c r="AG82"/>
  <c r="BY124"/>
  <c r="R51"/>
  <c r="BJ93"/>
  <c r="AG75"/>
  <c r="BY117"/>
  <c r="AG79"/>
  <c r="BY121"/>
  <c r="AG77"/>
  <c r="BY119"/>
  <c r="AG81"/>
  <c r="BY123"/>
  <c r="R49"/>
  <c r="BJ91"/>
  <c r="AF84"/>
  <c r="BX126"/>
  <c r="R46"/>
  <c r="BJ88"/>
  <c r="R55"/>
  <c r="BJ97"/>
  <c r="R45"/>
  <c r="BJ87"/>
  <c r="R50"/>
  <c r="BJ92"/>
  <c r="R53"/>
  <c r="BJ95"/>
  <c r="AH74"/>
  <c r="BZ116"/>
  <c r="AG76"/>
  <c r="BY118"/>
  <c r="AG80"/>
  <c r="BY122"/>
  <c r="R44"/>
  <c r="BJ86"/>
  <c r="R52"/>
  <c r="BJ94"/>
  <c r="R48"/>
  <c r="BJ90"/>
  <c r="R54"/>
  <c r="BJ96"/>
  <c r="AG78"/>
  <c r="BY120"/>
  <c r="R47"/>
  <c r="BJ89"/>
  <c r="R57"/>
  <c r="BJ99"/>
  <c r="AG83"/>
  <c r="BY125"/>
  <c r="S58"/>
  <c r="BK100"/>
  <c r="AF83" l="1"/>
  <c r="BX125"/>
  <c r="Q57"/>
  <c r="BI99"/>
  <c r="Q47"/>
  <c r="BI89"/>
  <c r="AF78"/>
  <c r="BX120"/>
  <c r="Q54"/>
  <c r="BI96"/>
  <c r="Q48"/>
  <c r="BI90"/>
  <c r="Q52"/>
  <c r="BI94"/>
  <c r="Q44"/>
  <c r="BI86"/>
  <c r="AF80"/>
  <c r="BX122"/>
  <c r="AF76"/>
  <c r="BX118"/>
  <c r="AG74"/>
  <c r="BY116"/>
  <c r="Q53"/>
  <c r="BI95"/>
  <c r="Q50"/>
  <c r="BI92"/>
  <c r="Q45"/>
  <c r="BI87"/>
  <c r="Q55"/>
  <c r="BI97"/>
  <c r="Q46"/>
  <c r="BI88"/>
  <c r="AE84"/>
  <c r="BW126"/>
  <c r="Q49"/>
  <c r="BI91"/>
  <c r="AF81"/>
  <c r="BX123"/>
  <c r="AF77"/>
  <c r="BX119"/>
  <c r="AF79"/>
  <c r="BX121"/>
  <c r="AF75"/>
  <c r="BX117"/>
  <c r="Q51"/>
  <c r="BI93"/>
  <c r="AF82"/>
  <c r="BX124"/>
  <c r="Q56"/>
  <c r="BI98"/>
  <c r="BJ101"/>
  <c r="R59"/>
  <c r="R58"/>
  <c r="BJ100"/>
  <c r="P56" l="1"/>
  <c r="BH98"/>
  <c r="AE82"/>
  <c r="BW124"/>
  <c r="P51"/>
  <c r="BH93"/>
  <c r="AE75"/>
  <c r="BW117"/>
  <c r="AE79"/>
  <c r="BW121"/>
  <c r="AE77"/>
  <c r="BW119"/>
  <c r="AE81"/>
  <c r="BW123"/>
  <c r="P49"/>
  <c r="BH91"/>
  <c r="AD84"/>
  <c r="BV126"/>
  <c r="P46"/>
  <c r="BH88"/>
  <c r="P55"/>
  <c r="BH97"/>
  <c r="P45"/>
  <c r="BH87"/>
  <c r="P50"/>
  <c r="BH92"/>
  <c r="P53"/>
  <c r="BH95"/>
  <c r="AF74"/>
  <c r="BX116"/>
  <c r="AE76"/>
  <c r="BW118"/>
  <c r="AE80"/>
  <c r="BW122"/>
  <c r="P44"/>
  <c r="BH86"/>
  <c r="P52"/>
  <c r="BH94"/>
  <c r="P48"/>
  <c r="BH90"/>
  <c r="P54"/>
  <c r="BH96"/>
  <c r="AE78"/>
  <c r="BW120"/>
  <c r="P47"/>
  <c r="BH89"/>
  <c r="P57"/>
  <c r="BH99"/>
  <c r="AE83"/>
  <c r="BW125"/>
  <c r="Q59"/>
  <c r="BI101"/>
  <c r="Q58"/>
  <c r="BI100"/>
  <c r="P59" l="1"/>
  <c r="BH101"/>
  <c r="AD83"/>
  <c r="BV125"/>
  <c r="O57"/>
  <c r="BG99"/>
  <c r="O47"/>
  <c r="BG89"/>
  <c r="AD78"/>
  <c r="BV120"/>
  <c r="O54"/>
  <c r="BG96"/>
  <c r="O48"/>
  <c r="BG90"/>
  <c r="O52"/>
  <c r="BG94"/>
  <c r="O44"/>
  <c r="BG86"/>
  <c r="AD80"/>
  <c r="BV122"/>
  <c r="AD76"/>
  <c r="BV118"/>
  <c r="AD74"/>
  <c r="BW116"/>
  <c r="O53"/>
  <c r="BG95"/>
  <c r="O50"/>
  <c r="BG92"/>
  <c r="O45"/>
  <c r="BG87"/>
  <c r="O55"/>
  <c r="BG97"/>
  <c r="O46"/>
  <c r="BG88"/>
  <c r="AC84"/>
  <c r="BU126"/>
  <c r="O49"/>
  <c r="BG91"/>
  <c r="AD81"/>
  <c r="BV123"/>
  <c r="AD77"/>
  <c r="BV119"/>
  <c r="AD79"/>
  <c r="BV121"/>
  <c r="AD75"/>
  <c r="BV117"/>
  <c r="O51"/>
  <c r="BG93"/>
  <c r="AD82"/>
  <c r="BV124"/>
  <c r="O56"/>
  <c r="BG98"/>
  <c r="P58"/>
  <c r="BH100"/>
  <c r="N56" l="1"/>
  <c r="BF98"/>
  <c r="AC82"/>
  <c r="BU124"/>
  <c r="N51"/>
  <c r="BF93"/>
  <c r="AC75"/>
  <c r="BU117"/>
  <c r="AC79"/>
  <c r="BU121"/>
  <c r="AC77"/>
  <c r="BU119"/>
  <c r="AC81"/>
  <c r="BU123"/>
  <c r="N49"/>
  <c r="BF91"/>
  <c r="AB84"/>
  <c r="BT126"/>
  <c r="N46"/>
  <c r="BF88"/>
  <c r="N55"/>
  <c r="BF97"/>
  <c r="N45"/>
  <c r="BF87"/>
  <c r="N50"/>
  <c r="BF92"/>
  <c r="N53"/>
  <c r="BF95"/>
  <c r="AC74"/>
  <c r="BU116"/>
  <c r="AC76"/>
  <c r="BU118"/>
  <c r="AC80"/>
  <c r="BU122"/>
  <c r="N44"/>
  <c r="BF86"/>
  <c r="N52"/>
  <c r="BF94"/>
  <c r="N48"/>
  <c r="BF90"/>
  <c r="N54"/>
  <c r="BF96"/>
  <c r="AC78"/>
  <c r="BU120"/>
  <c r="N47"/>
  <c r="BF89"/>
  <c r="N57"/>
  <c r="BF99"/>
  <c r="AC83"/>
  <c r="BU125"/>
  <c r="O59"/>
  <c r="BG101"/>
  <c r="O58"/>
  <c r="BG100"/>
  <c r="N59" l="1"/>
  <c r="BF101"/>
  <c r="AB83"/>
  <c r="BT125"/>
  <c r="M57"/>
  <c r="BE99"/>
  <c r="M47"/>
  <c r="BE89"/>
  <c r="AB78"/>
  <c r="BT120"/>
  <c r="M54"/>
  <c r="BE96"/>
  <c r="M48"/>
  <c r="BE90"/>
  <c r="M52"/>
  <c r="BE94"/>
  <c r="M44"/>
  <c r="BE86"/>
  <c r="AB80"/>
  <c r="BT122"/>
  <c r="AB76"/>
  <c r="BT118"/>
  <c r="AB74"/>
  <c r="BT116"/>
  <c r="M53"/>
  <c r="BE95"/>
  <c r="M50"/>
  <c r="BE92"/>
  <c r="M45"/>
  <c r="BE87"/>
  <c r="M55"/>
  <c r="BE97"/>
  <c r="M46"/>
  <c r="BE88"/>
  <c r="AA84"/>
  <c r="BS126"/>
  <c r="M49"/>
  <c r="BE91"/>
  <c r="AB81"/>
  <c r="BT123"/>
  <c r="AB77"/>
  <c r="BT119"/>
  <c r="AB79"/>
  <c r="BT121"/>
  <c r="AB75"/>
  <c r="BT117"/>
  <c r="M51"/>
  <c r="BE93"/>
  <c r="AB82"/>
  <c r="BT124"/>
  <c r="M56"/>
  <c r="BE98"/>
  <c r="N58"/>
  <c r="BF100"/>
  <c r="L56" l="1"/>
  <c r="BD98"/>
  <c r="AA82"/>
  <c r="BS124"/>
  <c r="L51"/>
  <c r="BD93"/>
  <c r="AA75"/>
  <c r="BS117"/>
  <c r="AA79"/>
  <c r="BS121"/>
  <c r="AA77"/>
  <c r="BS119"/>
  <c r="AA81"/>
  <c r="BS123"/>
  <c r="L49"/>
  <c r="BD91"/>
  <c r="Z84"/>
  <c r="BR126"/>
  <c r="L46"/>
  <c r="BD88"/>
  <c r="L55"/>
  <c r="BD97"/>
  <c r="L45"/>
  <c r="BD87"/>
  <c r="L50"/>
  <c r="BD92"/>
  <c r="L53"/>
  <c r="BD95"/>
  <c r="AA74"/>
  <c r="BS116"/>
  <c r="AA76"/>
  <c r="BS118"/>
  <c r="AA80"/>
  <c r="BS122"/>
  <c r="L44"/>
  <c r="BD86"/>
  <c r="L52"/>
  <c r="BD94"/>
  <c r="L48"/>
  <c r="BD90"/>
  <c r="L54"/>
  <c r="BD96"/>
  <c r="AA78"/>
  <c r="BS120"/>
  <c r="L47"/>
  <c r="BD89"/>
  <c r="L57"/>
  <c r="BD99"/>
  <c r="AA83"/>
  <c r="BS125"/>
  <c r="M59"/>
  <c r="BE101"/>
  <c r="M58"/>
  <c r="BE100"/>
  <c r="L59" l="1"/>
  <c r="BD101"/>
  <c r="Z83"/>
  <c r="BR125"/>
  <c r="K57"/>
  <c r="BC99"/>
  <c r="K47"/>
  <c r="BC89"/>
  <c r="Z78"/>
  <c r="BR120"/>
  <c r="K54"/>
  <c r="BC96"/>
  <c r="K48"/>
  <c r="BC90"/>
  <c r="K52"/>
  <c r="BC94"/>
  <c r="K44"/>
  <c r="BC86"/>
  <c r="Z80"/>
  <c r="BR122"/>
  <c r="Z76"/>
  <c r="BR118"/>
  <c r="Z74"/>
  <c r="BR116"/>
  <c r="K53"/>
  <c r="BC95"/>
  <c r="K50"/>
  <c r="BC92"/>
  <c r="K45"/>
  <c r="BC87"/>
  <c r="K55"/>
  <c r="BC97"/>
  <c r="K46"/>
  <c r="BC88"/>
  <c r="Y84"/>
  <c r="BQ126"/>
  <c r="K49"/>
  <c r="BC91"/>
  <c r="Z81"/>
  <c r="BR123"/>
  <c r="Z77"/>
  <c r="BR119"/>
  <c r="Z79"/>
  <c r="BR121"/>
  <c r="Z75"/>
  <c r="BR117"/>
  <c r="K51"/>
  <c r="BC93"/>
  <c r="Z82"/>
  <c r="BR124"/>
  <c r="K56"/>
  <c r="BC98"/>
  <c r="L58"/>
  <c r="BD100"/>
  <c r="J56" l="1"/>
  <c r="BB98"/>
  <c r="Y82"/>
  <c r="BQ124"/>
  <c r="J51"/>
  <c r="BB93"/>
  <c r="Y75"/>
  <c r="BQ117"/>
  <c r="Y79"/>
  <c r="BQ121"/>
  <c r="Y77"/>
  <c r="BQ119"/>
  <c r="Y81"/>
  <c r="BQ123"/>
  <c r="J49"/>
  <c r="BB91"/>
  <c r="X84"/>
  <c r="BP126"/>
  <c r="J46"/>
  <c r="BB88"/>
  <c r="J55"/>
  <c r="BB97"/>
  <c r="J45"/>
  <c r="BB87"/>
  <c r="J50"/>
  <c r="BB92"/>
  <c r="J53"/>
  <c r="BB95"/>
  <c r="Y74"/>
  <c r="BQ116"/>
  <c r="Y76"/>
  <c r="BQ118"/>
  <c r="Y80"/>
  <c r="BQ122"/>
  <c r="J44"/>
  <c r="BB86"/>
  <c r="J52"/>
  <c r="BB94"/>
  <c r="J48"/>
  <c r="BB90"/>
  <c r="J54"/>
  <c r="BB96"/>
  <c r="Y78"/>
  <c r="BQ120"/>
  <c r="J47"/>
  <c r="BB89"/>
  <c r="J57"/>
  <c r="BB99"/>
  <c r="Y83"/>
  <c r="BQ125"/>
  <c r="K59"/>
  <c r="BC101"/>
  <c r="K58"/>
  <c r="BC100"/>
  <c r="J59" l="1"/>
  <c r="BB101"/>
  <c r="X83"/>
  <c r="BP125"/>
  <c r="I57"/>
  <c r="BA99"/>
  <c r="I47"/>
  <c r="BA89"/>
  <c r="X78"/>
  <c r="BP120"/>
  <c r="I54"/>
  <c r="BA96"/>
  <c r="I48"/>
  <c r="BA90"/>
  <c r="I52"/>
  <c r="BA94"/>
  <c r="I44"/>
  <c r="BA86"/>
  <c r="X80"/>
  <c r="BP122"/>
  <c r="X76"/>
  <c r="BP118"/>
  <c r="X74"/>
  <c r="BP116"/>
  <c r="I53"/>
  <c r="BA95"/>
  <c r="I50"/>
  <c r="BA92"/>
  <c r="I45"/>
  <c r="BA87"/>
  <c r="I55"/>
  <c r="BA97"/>
  <c r="I46"/>
  <c r="BA88"/>
  <c r="W84"/>
  <c r="BO126"/>
  <c r="I49"/>
  <c r="BA91"/>
  <c r="X81"/>
  <c r="BP123"/>
  <c r="X77"/>
  <c r="BP119"/>
  <c r="X79"/>
  <c r="BP121"/>
  <c r="X75"/>
  <c r="BP117"/>
  <c r="I51"/>
  <c r="BA93"/>
  <c r="X82"/>
  <c r="BP124"/>
  <c r="I56"/>
  <c r="BA98"/>
  <c r="J58"/>
  <c r="BB100"/>
  <c r="H56" l="1"/>
  <c r="AZ98"/>
  <c r="W82"/>
  <c r="BO124"/>
  <c r="H51"/>
  <c r="AZ93"/>
  <c r="W75"/>
  <c r="BO117"/>
  <c r="W79"/>
  <c r="BO121"/>
  <c r="W77"/>
  <c r="BO119"/>
  <c r="W81"/>
  <c r="BO123"/>
  <c r="H49"/>
  <c r="AZ91"/>
  <c r="V84"/>
  <c r="BN126"/>
  <c r="H46"/>
  <c r="AZ88"/>
  <c r="H55"/>
  <c r="AZ97"/>
  <c r="H45"/>
  <c r="AZ87"/>
  <c r="H50"/>
  <c r="AZ92"/>
  <c r="H53"/>
  <c r="AZ95"/>
  <c r="W74"/>
  <c r="BO116"/>
  <c r="W76"/>
  <c r="BO118"/>
  <c r="W80"/>
  <c r="BO122"/>
  <c r="H44"/>
  <c r="AZ86"/>
  <c r="H52"/>
  <c r="AZ94"/>
  <c r="H48"/>
  <c r="AZ90"/>
  <c r="H54"/>
  <c r="AZ96"/>
  <c r="W78"/>
  <c r="BO120"/>
  <c r="H47"/>
  <c r="AZ89"/>
  <c r="H57"/>
  <c r="AZ99"/>
  <c r="W83"/>
  <c r="BO125"/>
  <c r="I59"/>
  <c r="BA101"/>
  <c r="I58"/>
  <c r="BA100"/>
  <c r="H59" l="1"/>
  <c r="AZ101"/>
  <c r="V83"/>
  <c r="BN125"/>
  <c r="G57"/>
  <c r="AX99" s="1"/>
  <c r="AY99"/>
  <c r="G47"/>
  <c r="AX89" s="1"/>
  <c r="AY89"/>
  <c r="V78"/>
  <c r="BN120"/>
  <c r="G54"/>
  <c r="AX96" s="1"/>
  <c r="AY96"/>
  <c r="G48"/>
  <c r="AX90" s="1"/>
  <c r="AY90"/>
  <c r="G52"/>
  <c r="AX94" s="1"/>
  <c r="AY94"/>
  <c r="G44"/>
  <c r="AX86" s="1"/>
  <c r="AY86"/>
  <c r="V80"/>
  <c r="BN122"/>
  <c r="V76"/>
  <c r="BN118"/>
  <c r="V74"/>
  <c r="BN116"/>
  <c r="G53"/>
  <c r="AX95" s="1"/>
  <c r="AY95"/>
  <c r="G50"/>
  <c r="AX92" s="1"/>
  <c r="AY92"/>
  <c r="G45"/>
  <c r="AX87" s="1"/>
  <c r="AY87"/>
  <c r="G55"/>
  <c r="AX97" s="1"/>
  <c r="AY97"/>
  <c r="G46"/>
  <c r="AX88" s="1"/>
  <c r="AY88"/>
  <c r="BM126"/>
  <c r="U84"/>
  <c r="BL126" s="1"/>
  <c r="G49"/>
  <c r="AX91" s="1"/>
  <c r="AY91"/>
  <c r="V81"/>
  <c r="BN123"/>
  <c r="V77"/>
  <c r="BN119"/>
  <c r="V79"/>
  <c r="BN121"/>
  <c r="V75"/>
  <c r="BN117"/>
  <c r="G51"/>
  <c r="AX93" s="1"/>
  <c r="AY93"/>
  <c r="V82"/>
  <c r="BN124"/>
  <c r="G56"/>
  <c r="AX98" s="1"/>
  <c r="AY98"/>
  <c r="H58"/>
  <c r="AZ100"/>
  <c r="BM124" l="1"/>
  <c r="U82"/>
  <c r="BL124" s="1"/>
  <c r="BM117"/>
  <c r="U75"/>
  <c r="BL117" s="1"/>
  <c r="BM121"/>
  <c r="U79"/>
  <c r="BL121" s="1"/>
  <c r="BM119"/>
  <c r="U77"/>
  <c r="BL119" s="1"/>
  <c r="BM123"/>
  <c r="U81"/>
  <c r="BL123" s="1"/>
  <c r="BM116"/>
  <c r="U74"/>
  <c r="BL116" s="1"/>
  <c r="BM118"/>
  <c r="U76"/>
  <c r="BL118" s="1"/>
  <c r="BM122"/>
  <c r="U80"/>
  <c r="BL122" s="1"/>
  <c r="BM120"/>
  <c r="U78"/>
  <c r="BL120" s="1"/>
  <c r="BM125"/>
  <c r="U83"/>
  <c r="BL125" s="1"/>
  <c r="AY101"/>
  <c r="G59"/>
  <c r="AX101" s="1"/>
  <c r="G58"/>
  <c r="AX100" s="1"/>
  <c r="AY100"/>
</calcChain>
</file>

<file path=xl/sharedStrings.xml><?xml version="1.0" encoding="utf-8"?>
<sst xmlns="http://schemas.openxmlformats.org/spreadsheetml/2006/main" count="35" uniqueCount="32">
  <si>
    <t>AD</t>
  </si>
  <si>
    <t>AB</t>
  </si>
  <si>
    <t>FE</t>
  </si>
  <si>
    <t>BC</t>
  </si>
  <si>
    <t>AH</t>
  </si>
  <si>
    <t>DE</t>
  </si>
  <si>
    <t>L</t>
  </si>
  <si>
    <t>H</t>
  </si>
  <si>
    <t>Конструктивные размеры фигуры</t>
  </si>
  <si>
    <t>dx</t>
  </si>
  <si>
    <t>dy</t>
  </si>
  <si>
    <t>t</t>
  </si>
  <si>
    <t>dt</t>
  </si>
  <si>
    <t>Cp</t>
  </si>
  <si>
    <t>ρ</t>
  </si>
  <si>
    <t>λ</t>
  </si>
  <si>
    <t>Физические параметры</t>
  </si>
  <si>
    <t>Параметры расчетной области и решателя</t>
  </si>
  <si>
    <t>α</t>
  </si>
  <si>
    <t>A</t>
  </si>
  <si>
    <t>B</t>
  </si>
  <si>
    <t>C</t>
  </si>
  <si>
    <t>X</t>
  </si>
  <si>
    <t>Y</t>
  </si>
  <si>
    <t>n+0,5</t>
  </si>
  <si>
    <t>Fi</t>
  </si>
  <si>
    <t>αi</t>
  </si>
  <si>
    <t>βi</t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</si>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</sst>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>
  <numFmts count="1">
    <numFmt numFmtId="164" formatCode="0.000"/>
  </numFmts>
  <fonts count="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</font>
    <font>
      <b/>
      <sz val="18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CFD8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8" borderId="0" applyNumberFormat="0" applyBorder="0" applyAlignment="0" applyProtection="0"/>
    <xf numFmtId="0" fontId="2" fillId="9" borderId="0" applyNumberFormat="0" applyBorder="0" applyAlignment="0" applyProtection="0"/>
  </cellStyleXfs>
  <cellXfs count="59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2" fontId="0" fillId="2" borderId="1" xfId="0" applyNumberFormat="1" applyFill="1" applyBorder="1"/>
    <xf numFmtId="0" fontId="0" fillId="2" borderId="3" xfId="0" applyFill="1" applyBorder="1" applyAlignment="1">
      <alignment horizontal="center" vertical="center"/>
    </xf>
    <xf numFmtId="0" fontId="0" fillId="3" borderId="1" xfId="0" applyFill="1" applyBorder="1"/>
    <xf numFmtId="2" fontId="0" fillId="2" borderId="2" xfId="0" applyNumberFormat="1" applyFill="1" applyBorder="1"/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0" fillId="2" borderId="2" xfId="0" applyFill="1" applyBorder="1" applyAlignment="1">
      <alignment horizontal="center" vertical="center"/>
    </xf>
    <xf numFmtId="0" fontId="0" fillId="2" borderId="6" xfId="0" applyFill="1" applyBorder="1"/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2" fontId="0" fillId="2" borderId="8" xfId="0" applyNumberFormat="1" applyFill="1" applyBorder="1"/>
    <xf numFmtId="0" fontId="0" fillId="2" borderId="7" xfId="0" applyFill="1" applyBorder="1"/>
    <xf numFmtId="0" fontId="0" fillId="0" borderId="0" xfId="0" applyFill="1" applyBorder="1" applyAlignment="1">
      <alignment horizontal="center" vertical="center"/>
    </xf>
    <xf numFmtId="0" fontId="0" fillId="0" borderId="7" xfId="0" applyFill="1" applyBorder="1"/>
    <xf numFmtId="0" fontId="0" fillId="0" borderId="1" xfId="0" applyFill="1" applyBorder="1" applyAlignment="1">
      <alignment horizontal="center" vertical="center"/>
    </xf>
    <xf numFmtId="0" fontId="0" fillId="4" borderId="1" xfId="0" applyFill="1" applyBorder="1"/>
    <xf numFmtId="164" fontId="0" fillId="4" borderId="1" xfId="0" applyNumberFormat="1" applyFill="1" applyBorder="1"/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0" fillId="6" borderId="1" xfId="0" applyFill="1" applyBorder="1"/>
    <xf numFmtId="0" fontId="1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0" fillId="0" borderId="0" xfId="0" applyFill="1" applyBorder="1"/>
    <xf numFmtId="2" fontId="0" fillId="2" borderId="3" xfId="0" applyNumberFormat="1" applyFill="1" applyBorder="1"/>
    <xf numFmtId="0" fontId="0" fillId="0" borderId="10" xfId="0" applyFill="1" applyBorder="1"/>
    <xf numFmtId="0" fontId="0" fillId="0" borderId="8" xfId="0" applyFill="1" applyBorder="1"/>
    <xf numFmtId="0" fontId="0" fillId="0" borderId="9" xfId="0" applyFill="1" applyBorder="1" applyAlignment="1">
      <alignment horizontal="center" vertical="center"/>
    </xf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2" fillId="9" borderId="6" xfId="2" applyBorder="1"/>
    <xf numFmtId="0" fontId="2" fillId="9" borderId="8" xfId="2" applyBorder="1" applyAlignment="1">
      <alignment horizontal="center" vertical="center"/>
    </xf>
    <xf numFmtId="0" fontId="2" fillId="9" borderId="1" xfId="2" applyBorder="1" applyAlignment="1">
      <alignment horizontal="center" vertical="center"/>
    </xf>
    <xf numFmtId="0" fontId="2" fillId="9" borderId="6" xfId="2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2" fillId="9" borderId="0" xfId="2"/>
    <xf numFmtId="0" fontId="3" fillId="8" borderId="0" xfId="1"/>
  </cellXfs>
  <cellStyles count="3">
    <cellStyle name="40% - Акцент4" xfId="2" builtinId="43"/>
    <cellStyle name="Обычный" xfId="0" builtinId="0"/>
    <cellStyle name="Плохой" xfId="1" builtinId="27"/>
  </cellStyles>
  <dxfs count="0"/>
  <tableStyles count="0" defaultTableStyle="TableStyleMedium2" defaultPivotStyle="PivotStyleLight16"/>
  <colors>
    <mruColors>
      <color rgb="FF0099FF"/>
      <color rgb="FFCC99FF"/>
      <color rgb="FFECF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FS126"/>
  <sheetViews>
    <sheetView tabSelected="1" topLeftCell="DS31" zoomScale="60" zoomScaleNormal="60" workbookViewId="0">
      <selection activeCell="EU64" sqref="EU64"/>
    </sheetView>
  </sheetViews>
  <sheetFormatPr defaultRowHeight="15"/>
  <cols>
    <col min="1" max="1" width="15.7109375" customWidth="1"/>
    <col min="4" max="4" width="6.85546875" customWidth="1"/>
    <col min="5" max="5" width="9.5703125" customWidth="1"/>
    <col min="6" max="47" width="5.7109375" customWidth="1"/>
    <col min="48" max="48" width="5.5703125" customWidth="1"/>
    <col min="49" max="49" width="9" customWidth="1"/>
    <col min="50" max="50" width="7.7109375" customWidth="1"/>
    <col min="51" max="51" width="8.7109375" customWidth="1"/>
    <col min="52" max="52" width="9.140625" customWidth="1"/>
    <col min="53" max="53" width="8" customWidth="1"/>
    <col min="54" max="54" width="7.28515625" customWidth="1"/>
    <col min="55" max="55" width="9.85546875" customWidth="1"/>
    <col min="56" max="56" width="9.5703125" customWidth="1"/>
    <col min="57" max="58" width="8.7109375" customWidth="1"/>
    <col min="59" max="59" width="9.140625" customWidth="1"/>
    <col min="60" max="60" width="10.140625" customWidth="1"/>
    <col min="61" max="61" width="10.85546875" customWidth="1"/>
    <col min="62" max="62" width="9.85546875" customWidth="1"/>
    <col min="63" max="63" width="10.85546875" customWidth="1"/>
    <col min="64" max="64" width="11.28515625" customWidth="1"/>
    <col min="65" max="73" width="5.5703125" customWidth="1"/>
    <col min="74" max="74" width="9.85546875" customWidth="1"/>
    <col min="75" max="75" width="8.42578125" customWidth="1"/>
    <col min="76" max="76" width="8.7109375" customWidth="1"/>
    <col min="77" max="77" width="9.85546875" customWidth="1"/>
    <col min="78" max="78" width="10.85546875" customWidth="1"/>
    <col min="79" max="79" width="8.42578125" customWidth="1"/>
    <col min="80" max="80" width="8.85546875" customWidth="1"/>
    <col min="81" max="81" width="8" customWidth="1"/>
    <col min="82" max="82" width="7.42578125" customWidth="1"/>
    <col min="83" max="83" width="9.140625" customWidth="1"/>
    <col min="84" max="84" width="7.28515625" customWidth="1"/>
    <col min="85" max="85" width="8.42578125" customWidth="1"/>
    <col min="86" max="87" width="8.7109375" customWidth="1"/>
    <col min="88" max="88" width="8.42578125" customWidth="1"/>
    <col min="89" max="89" width="9.5703125" customWidth="1"/>
    <col min="90" max="132" width="5.5703125" customWidth="1"/>
    <col min="151" max="151" width="9.28515625" bestFit="1" customWidth="1"/>
    <col min="152" max="158" width="14.140625" bestFit="1" customWidth="1"/>
    <col min="159" max="159" width="14.140625" customWidth="1"/>
  </cols>
  <sheetData>
    <row r="1" spans="1:47">
      <c r="E1" s="4"/>
      <c r="F1" s="4">
        <v>1</v>
      </c>
      <c r="G1" s="4">
        <v>2</v>
      </c>
      <c r="H1" s="4">
        <v>3</v>
      </c>
      <c r="I1" s="4">
        <v>4</v>
      </c>
      <c r="J1" s="4">
        <v>5</v>
      </c>
      <c r="K1" s="4">
        <v>6</v>
      </c>
      <c r="L1" s="4">
        <v>7</v>
      </c>
      <c r="M1" s="4">
        <v>8</v>
      </c>
      <c r="N1" s="4">
        <v>9</v>
      </c>
      <c r="O1" s="4">
        <v>10</v>
      </c>
      <c r="P1" s="4">
        <v>11</v>
      </c>
      <c r="Q1" s="4">
        <v>12</v>
      </c>
      <c r="R1" s="4">
        <v>13</v>
      </c>
      <c r="S1" s="4">
        <v>14</v>
      </c>
      <c r="T1" s="4">
        <v>15</v>
      </c>
      <c r="U1" s="4">
        <v>16</v>
      </c>
      <c r="V1" s="4">
        <v>17</v>
      </c>
      <c r="W1" s="4">
        <v>18</v>
      </c>
      <c r="X1" s="4">
        <v>19</v>
      </c>
      <c r="Y1" s="4">
        <v>20</v>
      </c>
      <c r="Z1" s="4">
        <v>21</v>
      </c>
      <c r="AA1" s="4">
        <v>22</v>
      </c>
      <c r="AB1" s="4">
        <v>23</v>
      </c>
      <c r="AC1" s="4">
        <v>24</v>
      </c>
      <c r="AD1" s="4">
        <v>25</v>
      </c>
      <c r="AE1" s="4">
        <v>26</v>
      </c>
      <c r="AF1" s="2">
        <v>27</v>
      </c>
      <c r="AG1" s="2">
        <v>28</v>
      </c>
      <c r="AH1" s="2">
        <v>29</v>
      </c>
      <c r="AI1" s="2">
        <v>30</v>
      </c>
      <c r="AJ1" s="2">
        <v>31</v>
      </c>
      <c r="AK1" s="2">
        <v>32</v>
      </c>
      <c r="AL1" s="2">
        <v>33</v>
      </c>
      <c r="AM1" s="2">
        <v>34</v>
      </c>
      <c r="AN1" s="2">
        <v>35</v>
      </c>
      <c r="AO1" s="2">
        <v>36</v>
      </c>
      <c r="AP1" s="2">
        <v>37</v>
      </c>
      <c r="AQ1" s="2">
        <v>38</v>
      </c>
      <c r="AR1" s="2">
        <v>39</v>
      </c>
      <c r="AS1" s="2">
        <v>40</v>
      </c>
      <c r="AT1" s="2">
        <v>41</v>
      </c>
    </row>
    <row r="2" spans="1:47" ht="15" customHeight="1">
      <c r="A2" s="37" t="s">
        <v>8</v>
      </c>
      <c r="B2" s="19" t="s">
        <v>0</v>
      </c>
      <c r="C2" s="19">
        <v>0.4</v>
      </c>
      <c r="E2" s="3">
        <f t="shared" ref="E2:E40" si="0">$C$11*AU3</f>
        <v>0.4</v>
      </c>
      <c r="F2" s="5">
        <v>350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10">
        <v>0</v>
      </c>
      <c r="AE2" s="2">
        <v>0</v>
      </c>
      <c r="AF2" s="8"/>
      <c r="AG2" s="8"/>
      <c r="AH2" s="8"/>
      <c r="AI2" s="8"/>
      <c r="AJ2" s="8"/>
      <c r="AK2" s="8"/>
      <c r="AL2" s="9"/>
      <c r="AM2" s="9"/>
      <c r="AN2" s="9"/>
      <c r="AO2" s="9"/>
      <c r="AP2" s="9"/>
      <c r="AQ2" s="9"/>
      <c r="AR2" s="9"/>
      <c r="AS2" s="9"/>
      <c r="AT2" s="9"/>
      <c r="AU2" s="1">
        <v>41</v>
      </c>
    </row>
    <row r="3" spans="1:47">
      <c r="A3" s="38"/>
      <c r="B3" s="19" t="s">
        <v>2</v>
      </c>
      <c r="C3" s="19">
        <v>0.25</v>
      </c>
      <c r="E3" s="3">
        <f t="shared" si="0"/>
        <v>0.39</v>
      </c>
      <c r="F3" s="5">
        <v>350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10">
        <v>0</v>
      </c>
      <c r="AE3" s="2">
        <v>0</v>
      </c>
      <c r="AF3" s="8"/>
      <c r="AG3" s="8"/>
      <c r="AH3" s="8"/>
      <c r="AI3" s="8"/>
      <c r="AJ3" s="8"/>
      <c r="AK3" s="8"/>
      <c r="AL3" s="9"/>
      <c r="AM3" s="9"/>
      <c r="AN3" s="9"/>
      <c r="AO3" s="9"/>
      <c r="AP3" s="9"/>
      <c r="AQ3" s="9"/>
      <c r="AR3" s="9"/>
      <c r="AS3" s="9"/>
      <c r="AT3" s="9"/>
      <c r="AU3" s="1">
        <v>40</v>
      </c>
    </row>
    <row r="4" spans="1:47">
      <c r="A4" s="38"/>
      <c r="B4" s="19" t="s">
        <v>1</v>
      </c>
      <c r="C4" s="19">
        <v>0.25</v>
      </c>
      <c r="E4" s="3">
        <f t="shared" si="0"/>
        <v>0.38</v>
      </c>
      <c r="F4" s="5">
        <v>350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10">
        <v>0</v>
      </c>
      <c r="AE4" s="2">
        <v>0</v>
      </c>
      <c r="AF4" s="8"/>
      <c r="AG4" s="8"/>
      <c r="AH4" s="8"/>
      <c r="AI4" s="8"/>
      <c r="AJ4" s="8"/>
      <c r="AK4" s="8"/>
      <c r="AL4" s="9"/>
      <c r="AM4" s="9"/>
      <c r="AN4" s="9"/>
      <c r="AO4" s="9"/>
      <c r="AP4" s="9"/>
      <c r="AQ4" s="9"/>
      <c r="AR4" s="9"/>
      <c r="AS4" s="9"/>
      <c r="AT4" s="9"/>
      <c r="AU4" s="1">
        <v>39</v>
      </c>
    </row>
    <row r="5" spans="1:47">
      <c r="A5" s="38"/>
      <c r="B5" s="19" t="s">
        <v>3</v>
      </c>
      <c r="C5" s="19">
        <v>0.3</v>
      </c>
      <c r="E5" s="3">
        <f t="shared" si="0"/>
        <v>0.37</v>
      </c>
      <c r="F5" s="5">
        <v>350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10">
        <v>0</v>
      </c>
      <c r="AE5" s="2">
        <v>0</v>
      </c>
      <c r="AF5" s="8"/>
      <c r="AG5" s="8"/>
      <c r="AH5" s="8"/>
      <c r="AI5" s="8"/>
      <c r="AJ5" s="8"/>
      <c r="AK5" s="8"/>
      <c r="AL5" s="9"/>
      <c r="AM5" s="9"/>
      <c r="AN5" s="9"/>
      <c r="AO5" s="9"/>
      <c r="AP5" s="9"/>
      <c r="AQ5" s="9"/>
      <c r="AR5" s="9"/>
      <c r="AS5" s="9"/>
      <c r="AT5" s="9"/>
      <c r="AU5" s="1">
        <v>38</v>
      </c>
    </row>
    <row r="6" spans="1:47">
      <c r="A6" s="38"/>
      <c r="B6" s="19" t="s">
        <v>4</v>
      </c>
      <c r="C6" s="19">
        <v>0.15</v>
      </c>
      <c r="D6">
        <v>0.3</v>
      </c>
      <c r="E6" s="3">
        <f t="shared" si="0"/>
        <v>0.36</v>
      </c>
      <c r="F6" s="5">
        <v>350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10">
        <v>0</v>
      </c>
      <c r="AE6" s="2">
        <v>0</v>
      </c>
      <c r="AF6" s="8"/>
      <c r="AG6" s="8"/>
      <c r="AH6" s="8"/>
      <c r="AI6" s="8"/>
      <c r="AJ6" s="8"/>
      <c r="AK6" s="8"/>
      <c r="AL6" s="9"/>
      <c r="AM6" s="9"/>
      <c r="AN6" s="9"/>
      <c r="AO6" s="9"/>
      <c r="AP6" s="9"/>
      <c r="AQ6" s="9"/>
      <c r="AR6" s="9"/>
      <c r="AS6" s="9"/>
      <c r="AT6" s="9"/>
      <c r="AU6" s="1">
        <v>37</v>
      </c>
    </row>
    <row r="7" spans="1:47">
      <c r="A7" s="39"/>
      <c r="B7" s="19" t="s">
        <v>5</v>
      </c>
      <c r="C7" s="19">
        <v>0.15</v>
      </c>
      <c r="E7" s="3">
        <f t="shared" si="0"/>
        <v>0.35000000000000003</v>
      </c>
      <c r="F7" s="5">
        <v>350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10">
        <v>0</v>
      </c>
      <c r="AE7" s="2">
        <v>0</v>
      </c>
      <c r="AF7" s="8"/>
      <c r="AG7" s="8"/>
      <c r="AH7" s="8"/>
      <c r="AI7" s="8"/>
      <c r="AJ7" s="8"/>
      <c r="AK7" s="8"/>
      <c r="AL7" s="9"/>
      <c r="AM7" s="9"/>
      <c r="AN7" s="9"/>
      <c r="AO7" s="9"/>
      <c r="AP7" s="9"/>
      <c r="AQ7" s="9"/>
      <c r="AR7" s="9"/>
      <c r="AS7" s="9"/>
      <c r="AT7" s="9"/>
      <c r="AU7" s="1">
        <v>36</v>
      </c>
    </row>
    <row r="8" spans="1:47">
      <c r="A8" s="37" t="s">
        <v>17</v>
      </c>
      <c r="B8" s="19" t="s">
        <v>6</v>
      </c>
      <c r="C8" s="19">
        <v>0.4</v>
      </c>
      <c r="E8" s="3">
        <f t="shared" si="0"/>
        <v>0.34</v>
      </c>
      <c r="F8" s="5">
        <v>350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10">
        <v>0</v>
      </c>
      <c r="AE8" s="2">
        <v>0</v>
      </c>
      <c r="AF8" s="8"/>
      <c r="AG8" s="8"/>
      <c r="AH8" s="8"/>
      <c r="AI8" s="8"/>
      <c r="AJ8" s="8"/>
      <c r="AK8" s="9"/>
      <c r="AL8" s="9"/>
      <c r="AM8" s="9"/>
      <c r="AN8" s="9"/>
      <c r="AO8" s="9"/>
      <c r="AP8" s="9"/>
      <c r="AQ8" s="9"/>
      <c r="AR8" s="9"/>
      <c r="AS8" s="9"/>
      <c r="AT8" s="9"/>
      <c r="AU8" s="1">
        <v>35</v>
      </c>
    </row>
    <row r="9" spans="1:47">
      <c r="A9" s="38"/>
      <c r="B9" s="19" t="s">
        <v>7</v>
      </c>
      <c r="C9" s="19">
        <v>0.4</v>
      </c>
      <c r="E9" s="3">
        <f t="shared" si="0"/>
        <v>0.33</v>
      </c>
      <c r="F9" s="5">
        <v>350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10">
        <v>0</v>
      </c>
      <c r="AE9" s="2">
        <v>0</v>
      </c>
      <c r="AF9" s="8"/>
      <c r="AG9" s="8"/>
      <c r="AH9" s="8"/>
      <c r="AI9" s="8"/>
      <c r="AJ9" s="8"/>
      <c r="AK9" s="9"/>
      <c r="AL9" s="9"/>
      <c r="AM9" s="9"/>
      <c r="AN9" s="9"/>
      <c r="AO9" s="9"/>
      <c r="AP9" s="9"/>
      <c r="AQ9" s="9"/>
      <c r="AR9" s="9"/>
      <c r="AS9" s="9"/>
      <c r="AT9" s="9"/>
      <c r="AU9" s="1">
        <v>34</v>
      </c>
    </row>
    <row r="10" spans="1:47">
      <c r="A10" s="38"/>
      <c r="B10" s="19" t="s">
        <v>9</v>
      </c>
      <c r="C10" s="20">
        <f>C8/40</f>
        <v>0.01</v>
      </c>
      <c r="E10" s="3">
        <f t="shared" si="0"/>
        <v>0.32</v>
      </c>
      <c r="F10" s="5">
        <v>350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10">
        <v>0</v>
      </c>
      <c r="AE10" s="2">
        <v>0</v>
      </c>
      <c r="AF10" s="8"/>
      <c r="AG10" s="8"/>
      <c r="AH10" s="8"/>
      <c r="AI10" s="8"/>
      <c r="AJ10" s="8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1">
        <v>33</v>
      </c>
    </row>
    <row r="11" spans="1:47">
      <c r="A11" s="38"/>
      <c r="B11" s="19" t="s">
        <v>10</v>
      </c>
      <c r="C11" s="20">
        <f>C9/40</f>
        <v>0.01</v>
      </c>
      <c r="E11" s="3">
        <f t="shared" si="0"/>
        <v>0.31</v>
      </c>
      <c r="F11" s="5">
        <v>350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10">
        <v>0</v>
      </c>
      <c r="AE11" s="2">
        <v>0</v>
      </c>
      <c r="AF11" s="8"/>
      <c r="AG11" s="8"/>
      <c r="AH11" s="8"/>
      <c r="AI11" s="8"/>
      <c r="AJ11" s="8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1">
        <v>32</v>
      </c>
    </row>
    <row r="12" spans="1:47">
      <c r="A12" s="38"/>
      <c r="B12" s="19" t="s">
        <v>11</v>
      </c>
      <c r="C12" s="19">
        <v>60</v>
      </c>
      <c r="D12">
        <v>61</v>
      </c>
      <c r="E12" s="3">
        <f t="shared" si="0"/>
        <v>0.3</v>
      </c>
      <c r="F12" s="5">
        <v>350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10">
        <v>0</v>
      </c>
      <c r="AE12" s="2">
        <v>0</v>
      </c>
      <c r="AF12" s="8"/>
      <c r="AG12" s="8"/>
      <c r="AH12" s="8"/>
      <c r="AI12" s="8"/>
      <c r="AJ12" s="8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1">
        <v>31</v>
      </c>
    </row>
    <row r="13" spans="1:47">
      <c r="A13" s="39"/>
      <c r="B13" s="19" t="s">
        <v>12</v>
      </c>
      <c r="C13" s="19">
        <v>1</v>
      </c>
      <c r="E13" s="3">
        <f t="shared" si="0"/>
        <v>0.28999999999999998</v>
      </c>
      <c r="F13" s="5">
        <v>350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10">
        <v>0</v>
      </c>
      <c r="AE13" s="2">
        <v>0</v>
      </c>
      <c r="AF13" s="8"/>
      <c r="AG13" s="8"/>
      <c r="AH13" s="8"/>
      <c r="AI13" s="8"/>
      <c r="AJ13" s="8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1">
        <v>30</v>
      </c>
    </row>
    <row r="14" spans="1:47">
      <c r="E14" s="3">
        <f t="shared" si="0"/>
        <v>0.28000000000000003</v>
      </c>
      <c r="F14" s="5">
        <v>350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10">
        <v>0</v>
      </c>
      <c r="AE14" s="2">
        <v>0</v>
      </c>
      <c r="AF14" s="8"/>
      <c r="AG14" s="8"/>
      <c r="AH14" s="8"/>
      <c r="AI14" s="8"/>
      <c r="AJ14" s="8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1">
        <v>29</v>
      </c>
    </row>
    <row r="15" spans="1:47" ht="15" customHeight="1">
      <c r="A15" s="40" t="s">
        <v>16</v>
      </c>
      <c r="B15" s="21" t="s">
        <v>13</v>
      </c>
      <c r="C15" s="22">
        <v>385</v>
      </c>
      <c r="E15" s="3">
        <f t="shared" si="0"/>
        <v>0.27</v>
      </c>
      <c r="F15" s="5">
        <v>350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10">
        <v>0</v>
      </c>
      <c r="AE15" s="2">
        <v>0</v>
      </c>
      <c r="AF15" s="8"/>
      <c r="AG15" s="8"/>
      <c r="AH15" s="8"/>
      <c r="AI15" s="8"/>
      <c r="AJ15" s="8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1">
        <v>28</v>
      </c>
    </row>
    <row r="16" spans="1:47">
      <c r="A16" s="41"/>
      <c r="B16" s="23" t="s">
        <v>14</v>
      </c>
      <c r="C16" s="22">
        <v>8920</v>
      </c>
      <c r="E16" s="3">
        <f t="shared" si="0"/>
        <v>0.26</v>
      </c>
      <c r="F16" s="5">
        <v>350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10">
        <v>0</v>
      </c>
      <c r="AE16" s="2">
        <v>0</v>
      </c>
      <c r="AF16" s="8"/>
      <c r="AG16" s="8"/>
      <c r="AH16" s="8"/>
      <c r="AI16" s="8"/>
      <c r="AJ16" s="8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1">
        <v>27</v>
      </c>
    </row>
    <row r="17" spans="1:47">
      <c r="A17" s="41"/>
      <c r="B17" s="23" t="s">
        <v>15</v>
      </c>
      <c r="C17" s="22">
        <v>402</v>
      </c>
      <c r="E17" s="6">
        <f t="shared" si="0"/>
        <v>0.25</v>
      </c>
      <c r="F17" s="5">
        <v>350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7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10">
        <v>0</v>
      </c>
      <c r="AE17" s="2">
        <v>0</v>
      </c>
      <c r="AF17" s="8"/>
      <c r="AG17" s="8"/>
      <c r="AH17" s="8"/>
      <c r="AI17" s="8"/>
      <c r="AJ17" s="8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1">
        <v>26</v>
      </c>
    </row>
    <row r="18" spans="1:47">
      <c r="A18" s="42"/>
      <c r="B18" s="23" t="s">
        <v>18</v>
      </c>
      <c r="C18" s="22">
        <v>1000</v>
      </c>
      <c r="E18" s="3">
        <f t="shared" si="0"/>
        <v>0.24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2">
        <v>0</v>
      </c>
      <c r="V18" s="7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10">
        <v>0</v>
      </c>
      <c r="AE18" s="2">
        <v>0</v>
      </c>
      <c r="AF18" s="8"/>
      <c r="AG18" s="8"/>
      <c r="AH18" s="8"/>
      <c r="AI18" s="8"/>
      <c r="AJ18" s="8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1">
        <v>25</v>
      </c>
    </row>
    <row r="19" spans="1:47">
      <c r="E19" s="3">
        <f t="shared" si="0"/>
        <v>0.23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2">
        <v>0</v>
      </c>
      <c r="V19" s="7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10">
        <v>0</v>
      </c>
      <c r="AE19" s="2">
        <v>0</v>
      </c>
      <c r="AF19" s="8"/>
      <c r="AG19" s="8"/>
      <c r="AH19" s="8"/>
      <c r="AI19" s="8"/>
      <c r="AJ19" s="8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1">
        <v>24</v>
      </c>
    </row>
    <row r="20" spans="1:47">
      <c r="A20" s="43" t="s">
        <v>22</v>
      </c>
      <c r="B20" s="24" t="s">
        <v>19</v>
      </c>
      <c r="C20" s="25">
        <f>C17/(C10^2)</f>
        <v>4020000</v>
      </c>
      <c r="E20" s="3">
        <f t="shared" si="0"/>
        <v>0.22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2">
        <v>0</v>
      </c>
      <c r="V20" s="7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10">
        <v>0</v>
      </c>
      <c r="AE20" s="2">
        <v>0</v>
      </c>
      <c r="AF20" s="8"/>
      <c r="AG20" s="8"/>
      <c r="AH20" s="8"/>
      <c r="AI20" s="8"/>
      <c r="AJ20" s="8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1">
        <v>23</v>
      </c>
    </row>
    <row r="21" spans="1:47">
      <c r="A21" s="43"/>
      <c r="B21" s="24" t="s">
        <v>20</v>
      </c>
      <c r="C21" s="25">
        <f>2*C20+(C16*C15)/C13</f>
        <v>11474200</v>
      </c>
      <c r="E21" s="3">
        <f t="shared" si="0"/>
        <v>0.21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2">
        <v>0</v>
      </c>
      <c r="V21" s="7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10">
        <v>0</v>
      </c>
      <c r="AE21" s="2">
        <v>0</v>
      </c>
      <c r="AF21" s="8"/>
      <c r="AG21" s="8"/>
      <c r="AH21" s="8"/>
      <c r="AI21" s="8"/>
      <c r="AJ21" s="8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1">
        <v>22</v>
      </c>
    </row>
    <row r="22" spans="1:47">
      <c r="A22" s="43"/>
      <c r="B22" s="24" t="s">
        <v>21</v>
      </c>
      <c r="C22" s="25">
        <f>C20</f>
        <v>4020000</v>
      </c>
      <c r="E22" s="3">
        <f t="shared" si="0"/>
        <v>0.2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2">
        <v>0</v>
      </c>
      <c r="V22" s="7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10">
        <v>0</v>
      </c>
      <c r="AE22" s="2">
        <v>0</v>
      </c>
      <c r="AF22" s="8"/>
      <c r="AG22" s="8"/>
      <c r="AH22" s="8"/>
      <c r="AI22" s="8"/>
      <c r="AJ22" s="8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1">
        <v>21</v>
      </c>
    </row>
    <row r="23" spans="1:47">
      <c r="E23" s="3">
        <f t="shared" si="0"/>
        <v>0.19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2">
        <v>0</v>
      </c>
      <c r="V23" s="7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10">
        <v>0</v>
      </c>
      <c r="AE23" s="2">
        <v>0</v>
      </c>
      <c r="AF23" s="8"/>
      <c r="AG23" s="8"/>
      <c r="AH23" s="8"/>
      <c r="AI23" s="8"/>
      <c r="AJ23" s="8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1">
        <v>20</v>
      </c>
    </row>
    <row r="24" spans="1:47">
      <c r="A24" s="36" t="s">
        <v>23</v>
      </c>
      <c r="B24" s="26" t="s">
        <v>19</v>
      </c>
      <c r="C24" s="27">
        <f>C17/(C11^2)</f>
        <v>4020000</v>
      </c>
      <c r="E24" s="3">
        <f t="shared" si="0"/>
        <v>0.18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2">
        <v>0</v>
      </c>
      <c r="V24" s="7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10">
        <v>0</v>
      </c>
      <c r="AE24" s="2">
        <v>0</v>
      </c>
      <c r="AF24" s="8"/>
      <c r="AG24" s="8"/>
      <c r="AH24" s="8"/>
      <c r="AI24" s="8"/>
      <c r="AJ24" s="8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1">
        <v>19</v>
      </c>
    </row>
    <row r="25" spans="1:47">
      <c r="A25" s="36"/>
      <c r="B25" s="26" t="s">
        <v>20</v>
      </c>
      <c r="C25" s="27">
        <f>2*C24+(C16*C15)/C13</f>
        <v>11474200</v>
      </c>
      <c r="E25" s="3">
        <f t="shared" si="0"/>
        <v>0.17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2">
        <v>0</v>
      </c>
      <c r="V25" s="7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10">
        <v>0</v>
      </c>
      <c r="AE25" s="2">
        <v>0</v>
      </c>
      <c r="AF25" s="8"/>
      <c r="AG25" s="8"/>
      <c r="AH25" s="8"/>
      <c r="AI25" s="8"/>
      <c r="AJ25" s="8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1">
        <v>18</v>
      </c>
    </row>
    <row r="26" spans="1:47">
      <c r="A26" s="36"/>
      <c r="B26" s="26" t="s">
        <v>21</v>
      </c>
      <c r="C26" s="27">
        <f>C24</f>
        <v>4020000</v>
      </c>
      <c r="E26" s="3">
        <f t="shared" si="0"/>
        <v>0.16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2">
        <v>0</v>
      </c>
      <c r="V26" s="7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10">
        <v>0</v>
      </c>
      <c r="AE26" s="2">
        <v>0</v>
      </c>
      <c r="AF26" s="8"/>
      <c r="AG26" s="8"/>
      <c r="AH26" s="8"/>
      <c r="AI26" s="8"/>
      <c r="AJ26" s="8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1">
        <v>17</v>
      </c>
    </row>
    <row r="27" spans="1:47">
      <c r="E27" s="3">
        <f t="shared" si="0"/>
        <v>0.15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2">
        <v>0</v>
      </c>
      <c r="V27" s="7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10">
        <v>0</v>
      </c>
      <c r="AE27" s="2">
        <v>0</v>
      </c>
      <c r="AF27" s="8"/>
      <c r="AG27" s="8"/>
      <c r="AH27" s="8"/>
      <c r="AI27" s="8"/>
      <c r="AJ27" s="8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1">
        <v>16</v>
      </c>
    </row>
    <row r="28" spans="1:47">
      <c r="E28" s="3">
        <f t="shared" si="0"/>
        <v>0.14000000000000001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2">
        <v>0</v>
      </c>
      <c r="V28" s="7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10">
        <v>0</v>
      </c>
      <c r="AE28" s="2">
        <v>0</v>
      </c>
      <c r="AF28" s="8"/>
      <c r="AG28" s="8"/>
      <c r="AH28" s="8"/>
      <c r="AI28" s="8"/>
      <c r="AJ28" s="8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1">
        <v>15</v>
      </c>
    </row>
    <row r="29" spans="1:47">
      <c r="E29" s="3">
        <f t="shared" si="0"/>
        <v>0.13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2">
        <v>0</v>
      </c>
      <c r="V29" s="7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10">
        <v>0</v>
      </c>
      <c r="AE29" s="2">
        <v>0</v>
      </c>
      <c r="AF29" s="8"/>
      <c r="AG29" s="8"/>
      <c r="AH29" s="8"/>
      <c r="AI29" s="8"/>
      <c r="AJ29" s="8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1">
        <v>14</v>
      </c>
    </row>
    <row r="30" spans="1:47">
      <c r="E30" s="3">
        <f t="shared" si="0"/>
        <v>0.12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2">
        <v>0</v>
      </c>
      <c r="V30" s="7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10">
        <v>0</v>
      </c>
      <c r="AE30" s="2">
        <v>0</v>
      </c>
      <c r="AF30" s="8"/>
      <c r="AG30" s="8"/>
      <c r="AH30" s="8"/>
      <c r="AI30" s="8"/>
      <c r="AJ30" s="8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1">
        <v>13</v>
      </c>
    </row>
    <row r="31" spans="1:47">
      <c r="E31" s="3">
        <f t="shared" si="0"/>
        <v>0.11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2">
        <v>0</v>
      </c>
      <c r="V31" s="7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10">
        <v>0</v>
      </c>
      <c r="AE31" s="2">
        <v>0</v>
      </c>
      <c r="AF31" s="8"/>
      <c r="AG31" s="8"/>
      <c r="AH31" s="8"/>
      <c r="AI31" s="8"/>
      <c r="AJ31" s="8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1">
        <v>12</v>
      </c>
    </row>
    <row r="32" spans="1:47">
      <c r="E32" s="3">
        <f t="shared" si="0"/>
        <v>0.1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2">
        <v>0</v>
      </c>
      <c r="V32" s="7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13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100</v>
      </c>
      <c r="AU32" s="11">
        <v>11</v>
      </c>
    </row>
    <row r="33" spans="5:175">
      <c r="E33" s="3">
        <f t="shared" si="0"/>
        <v>0.09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2">
        <v>0</v>
      </c>
      <c r="V33" s="7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12">
        <v>0</v>
      </c>
      <c r="AG33" s="12">
        <v>0</v>
      </c>
      <c r="AH33" s="12">
        <v>0</v>
      </c>
      <c r="AI33" s="12">
        <v>0</v>
      </c>
      <c r="AJ33" s="12">
        <v>0</v>
      </c>
      <c r="AK33" s="12">
        <v>0</v>
      </c>
      <c r="AL33" s="12">
        <v>0</v>
      </c>
      <c r="AM33" s="12">
        <v>0</v>
      </c>
      <c r="AN33" s="12">
        <v>0</v>
      </c>
      <c r="AO33" s="12">
        <v>0</v>
      </c>
      <c r="AP33" s="12">
        <v>0</v>
      </c>
      <c r="AQ33" s="12">
        <v>0</v>
      </c>
      <c r="AR33" s="12">
        <v>0</v>
      </c>
      <c r="AS33" s="12">
        <v>0</v>
      </c>
      <c r="AT33" s="2">
        <v>100</v>
      </c>
      <c r="AU33" s="1">
        <v>10</v>
      </c>
    </row>
    <row r="34" spans="5:175">
      <c r="E34" s="3">
        <f t="shared" si="0"/>
        <v>0.08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2">
        <v>0</v>
      </c>
      <c r="V34" s="7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100</v>
      </c>
      <c r="AU34" s="1">
        <v>9</v>
      </c>
    </row>
    <row r="35" spans="5:175">
      <c r="E35" s="3">
        <f t="shared" si="0"/>
        <v>7.0000000000000007E-2</v>
      </c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2">
        <v>0</v>
      </c>
      <c r="V35" s="7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100</v>
      </c>
      <c r="AU35" s="1">
        <v>8</v>
      </c>
    </row>
    <row r="36" spans="5:175">
      <c r="E36" s="3">
        <f t="shared" si="0"/>
        <v>0.06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2">
        <v>0</v>
      </c>
      <c r="V36" s="7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100</v>
      </c>
      <c r="AU36" s="1">
        <v>7</v>
      </c>
    </row>
    <row r="37" spans="5:175">
      <c r="E37" s="3">
        <f t="shared" si="0"/>
        <v>0.05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2">
        <v>0</v>
      </c>
      <c r="V37" s="7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100</v>
      </c>
      <c r="AU37" s="1">
        <v>6</v>
      </c>
    </row>
    <row r="38" spans="5:175">
      <c r="E38" s="3">
        <f t="shared" si="0"/>
        <v>0.04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2">
        <v>0</v>
      </c>
      <c r="V38" s="7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100</v>
      </c>
      <c r="AU38" s="1">
        <v>5</v>
      </c>
    </row>
    <row r="39" spans="5:175">
      <c r="E39" s="3">
        <f t="shared" si="0"/>
        <v>0.03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2">
        <v>0</v>
      </c>
      <c r="V39" s="7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100</v>
      </c>
      <c r="AU39" s="1">
        <v>4</v>
      </c>
    </row>
    <row r="40" spans="5:175">
      <c r="E40" s="3">
        <f t="shared" si="0"/>
        <v>0.02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2">
        <v>0</v>
      </c>
      <c r="V40" s="7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100</v>
      </c>
      <c r="AU40" s="1">
        <v>3</v>
      </c>
    </row>
    <row r="41" spans="5:175">
      <c r="E41" s="3">
        <f>$C$11*AU42</f>
        <v>0.01</v>
      </c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2">
        <v>0</v>
      </c>
      <c r="V41" s="7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100</v>
      </c>
      <c r="AU41" s="1">
        <v>2</v>
      </c>
    </row>
    <row r="42" spans="5:175">
      <c r="E42" s="3">
        <v>0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2">
        <v>0</v>
      </c>
      <c r="V42" s="7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100</v>
      </c>
      <c r="AU42" s="1">
        <v>1</v>
      </c>
    </row>
    <row r="43" spans="5:175">
      <c r="E43" s="15"/>
      <c r="F43" s="3">
        <v>0</v>
      </c>
      <c r="G43" s="3">
        <f>$C$10*F1</f>
        <v>0.01</v>
      </c>
      <c r="H43" s="3">
        <f t="shared" ref="H43:AT43" si="1">$C$10*G1</f>
        <v>0.02</v>
      </c>
      <c r="I43" s="3">
        <f t="shared" si="1"/>
        <v>0.03</v>
      </c>
      <c r="J43" s="3">
        <f t="shared" si="1"/>
        <v>0.04</v>
      </c>
      <c r="K43" s="3">
        <f t="shared" si="1"/>
        <v>0.05</v>
      </c>
      <c r="L43" s="3">
        <f t="shared" si="1"/>
        <v>0.06</v>
      </c>
      <c r="M43" s="3">
        <f t="shared" si="1"/>
        <v>7.0000000000000007E-2</v>
      </c>
      <c r="N43" s="3">
        <f t="shared" si="1"/>
        <v>0.08</v>
      </c>
      <c r="O43" s="3">
        <f t="shared" si="1"/>
        <v>0.09</v>
      </c>
      <c r="P43" s="3">
        <f t="shared" si="1"/>
        <v>0.1</v>
      </c>
      <c r="Q43" s="3">
        <f t="shared" si="1"/>
        <v>0.11</v>
      </c>
      <c r="R43" s="3">
        <f t="shared" si="1"/>
        <v>0.12</v>
      </c>
      <c r="S43" s="3">
        <f t="shared" si="1"/>
        <v>0.13</v>
      </c>
      <c r="T43" s="3">
        <f t="shared" si="1"/>
        <v>0.14000000000000001</v>
      </c>
      <c r="U43" s="14">
        <f t="shared" si="1"/>
        <v>0.15</v>
      </c>
      <c r="V43" s="3">
        <f t="shared" si="1"/>
        <v>0.16</v>
      </c>
      <c r="W43" s="3">
        <f t="shared" si="1"/>
        <v>0.17</v>
      </c>
      <c r="X43" s="3">
        <f t="shared" si="1"/>
        <v>0.18</v>
      </c>
      <c r="Y43" s="3">
        <f t="shared" si="1"/>
        <v>0.19</v>
      </c>
      <c r="Z43" s="3">
        <f t="shared" si="1"/>
        <v>0.2</v>
      </c>
      <c r="AA43" s="3">
        <f t="shared" si="1"/>
        <v>0.21</v>
      </c>
      <c r="AB43" s="3">
        <f t="shared" si="1"/>
        <v>0.22</v>
      </c>
      <c r="AC43" s="3">
        <f t="shared" si="1"/>
        <v>0.23</v>
      </c>
      <c r="AD43" s="3">
        <f t="shared" si="1"/>
        <v>0.24</v>
      </c>
      <c r="AE43" s="29">
        <f t="shared" si="1"/>
        <v>0.25</v>
      </c>
      <c r="AF43" s="29">
        <f t="shared" si="1"/>
        <v>0.26</v>
      </c>
      <c r="AG43" s="29">
        <f t="shared" si="1"/>
        <v>0.27</v>
      </c>
      <c r="AH43" s="29">
        <f t="shared" si="1"/>
        <v>0.28000000000000003</v>
      </c>
      <c r="AI43" s="29">
        <f t="shared" si="1"/>
        <v>0.28999999999999998</v>
      </c>
      <c r="AJ43" s="29">
        <f t="shared" si="1"/>
        <v>0.3</v>
      </c>
      <c r="AK43" s="29">
        <f t="shared" si="1"/>
        <v>0.31</v>
      </c>
      <c r="AL43" s="29">
        <f t="shared" si="1"/>
        <v>0.32</v>
      </c>
      <c r="AM43" s="29">
        <f t="shared" si="1"/>
        <v>0.33</v>
      </c>
      <c r="AN43" s="29">
        <f t="shared" si="1"/>
        <v>0.34</v>
      </c>
      <c r="AO43" s="29">
        <f t="shared" si="1"/>
        <v>0.35000000000000003</v>
      </c>
      <c r="AP43" s="29">
        <f t="shared" si="1"/>
        <v>0.36</v>
      </c>
      <c r="AQ43" s="29">
        <f t="shared" si="1"/>
        <v>0.37</v>
      </c>
      <c r="AR43" s="29">
        <f t="shared" si="1"/>
        <v>0.38</v>
      </c>
      <c r="AS43" s="29">
        <f t="shared" si="1"/>
        <v>0.39</v>
      </c>
      <c r="AT43" s="29">
        <f t="shared" si="1"/>
        <v>0.4</v>
      </c>
      <c r="AU43" s="1"/>
      <c r="CN43" s="58">
        <v>1</v>
      </c>
      <c r="CO43" s="58">
        <v>2</v>
      </c>
      <c r="CP43" s="58">
        <v>3</v>
      </c>
      <c r="CQ43" s="58">
        <v>4</v>
      </c>
      <c r="CR43" s="58">
        <v>5</v>
      </c>
      <c r="CS43" s="58">
        <v>6</v>
      </c>
      <c r="CT43" s="58">
        <v>7</v>
      </c>
      <c r="CU43" s="58">
        <v>8</v>
      </c>
      <c r="CV43" s="58">
        <v>9</v>
      </c>
      <c r="CW43" s="58">
        <v>10</v>
      </c>
      <c r="CX43" s="58">
        <v>11</v>
      </c>
      <c r="CY43" s="58">
        <v>12</v>
      </c>
      <c r="CZ43" s="58">
        <v>13</v>
      </c>
      <c r="DA43" s="58">
        <v>14</v>
      </c>
      <c r="DB43" s="58">
        <v>15</v>
      </c>
      <c r="DC43" s="58">
        <v>16</v>
      </c>
      <c r="DD43" s="58">
        <v>17</v>
      </c>
      <c r="DE43" s="58">
        <v>18</v>
      </c>
      <c r="DF43" s="58">
        <v>19</v>
      </c>
      <c r="DG43" s="58">
        <v>20</v>
      </c>
      <c r="DH43" s="58">
        <v>21</v>
      </c>
      <c r="DI43" s="58">
        <v>22</v>
      </c>
      <c r="DJ43" s="58">
        <v>23</v>
      </c>
      <c r="DK43" s="58">
        <v>24</v>
      </c>
      <c r="DL43" s="58">
        <v>25</v>
      </c>
      <c r="DM43" s="58">
        <v>26</v>
      </c>
      <c r="DN43" s="58">
        <v>27</v>
      </c>
      <c r="DO43" s="58">
        <v>28</v>
      </c>
      <c r="DP43" s="58">
        <v>29</v>
      </c>
      <c r="DQ43" s="58">
        <v>30</v>
      </c>
      <c r="DR43" s="58">
        <v>31</v>
      </c>
      <c r="DS43" s="58">
        <v>32</v>
      </c>
      <c r="DT43" s="58">
        <v>33</v>
      </c>
      <c r="DU43" s="58">
        <v>34</v>
      </c>
      <c r="DV43" s="58">
        <v>35</v>
      </c>
      <c r="DW43" s="58">
        <v>36</v>
      </c>
      <c r="DX43" s="58">
        <v>37</v>
      </c>
      <c r="DY43" s="58">
        <v>38</v>
      </c>
      <c r="DZ43" s="58">
        <v>39</v>
      </c>
      <c r="EA43" s="58">
        <v>40</v>
      </c>
      <c r="EB43" s="58">
        <v>41</v>
      </c>
      <c r="EE43" s="58">
        <v>1</v>
      </c>
      <c r="EF43" s="58">
        <v>2</v>
      </c>
      <c r="EG43" s="58">
        <v>3</v>
      </c>
      <c r="EH43" s="58">
        <v>4</v>
      </c>
      <c r="EI43" s="58">
        <v>5</v>
      </c>
      <c r="EJ43" s="58">
        <v>6</v>
      </c>
      <c r="EK43" s="58">
        <v>7</v>
      </c>
      <c r="EL43" s="58">
        <v>8</v>
      </c>
      <c r="EM43" s="58">
        <v>9</v>
      </c>
      <c r="EN43" s="58">
        <v>10</v>
      </c>
      <c r="EO43" s="58">
        <v>11</v>
      </c>
      <c r="EP43" s="58">
        <v>12</v>
      </c>
      <c r="EQ43" s="58">
        <v>13</v>
      </c>
      <c r="ER43" s="58">
        <v>14</v>
      </c>
      <c r="ES43" s="58">
        <v>15</v>
      </c>
      <c r="ET43" s="58">
        <v>16</v>
      </c>
      <c r="EU43" s="58">
        <v>17</v>
      </c>
      <c r="EV43" s="58">
        <v>18</v>
      </c>
      <c r="EW43" s="58">
        <v>19</v>
      </c>
      <c r="EX43" s="58">
        <v>20</v>
      </c>
      <c r="EY43" s="58">
        <v>21</v>
      </c>
      <c r="EZ43" s="58">
        <v>22</v>
      </c>
      <c r="FA43" s="58">
        <v>23</v>
      </c>
      <c r="FB43" s="58">
        <v>24</v>
      </c>
      <c r="FC43" s="58">
        <v>25</v>
      </c>
      <c r="FD43" s="58">
        <v>26</v>
      </c>
      <c r="FE43" s="58">
        <v>27</v>
      </c>
      <c r="FF43" s="58">
        <v>28</v>
      </c>
      <c r="FG43" s="58">
        <v>29</v>
      </c>
      <c r="FH43" s="58">
        <v>30</v>
      </c>
      <c r="FI43" s="58">
        <v>31</v>
      </c>
      <c r="FJ43" s="58">
        <v>32</v>
      </c>
      <c r="FK43" s="58">
        <v>33</v>
      </c>
      <c r="FL43" s="58">
        <v>34</v>
      </c>
      <c r="FM43" s="58">
        <v>35</v>
      </c>
      <c r="FN43" s="58">
        <v>36</v>
      </c>
      <c r="FO43" s="58">
        <v>37</v>
      </c>
      <c r="FP43" s="58">
        <v>38</v>
      </c>
      <c r="FQ43" s="58">
        <v>39</v>
      </c>
      <c r="FR43" s="58">
        <v>40</v>
      </c>
      <c r="FS43" s="58">
        <v>41</v>
      </c>
    </row>
    <row r="44" spans="5:175">
      <c r="E44" s="56" t="s">
        <v>24</v>
      </c>
      <c r="F44" s="50">
        <v>350</v>
      </c>
      <c r="G44" s="52">
        <f t="shared" ref="G44:G59" si="2">CO44*H44+EF44</f>
        <v>143.129555158778</v>
      </c>
      <c r="H44" s="52">
        <f t="shared" ref="H44:H59" si="3">CP44*I44+EG44</f>
        <v>58.531627314141929</v>
      </c>
      <c r="I44" s="52">
        <f t="shared" ref="I44:I59" si="4">CQ44*J44+EH44</f>
        <v>23.93601651483576</v>
      </c>
      <c r="J44" s="52">
        <f t="shared" ref="J44:J59" si="5">CR44*K44+EI44</f>
        <v>9.788432560118876</v>
      </c>
      <c r="K44" s="52">
        <f t="shared" ref="K44:K59" si="6">CS44*L44+EJ44</f>
        <v>4.002897137232897</v>
      </c>
      <c r="L44" s="52">
        <f t="shared" ref="L44:L59" si="7">CT44*M44+EK44</f>
        <v>1.6369511045671215</v>
      </c>
      <c r="M44" s="52">
        <f t="shared" ref="M44:M59" si="8">CU44*N44+EL44</f>
        <v>0.66941738118104965</v>
      </c>
      <c r="N44" s="52">
        <f t="shared" ref="N44:N59" si="9">CV44*O44+EM44</f>
        <v>0.27375260566859994</v>
      </c>
      <c r="O44" s="52">
        <f t="shared" ref="O44:O59" si="10">CW44*P44+EN44</f>
        <v>0.1119488247798084</v>
      </c>
      <c r="P44" s="52">
        <f t="shared" ref="P44:P59" si="11">CX44*Q44+EO44</f>
        <v>4.5780529975299945E-2</v>
      </c>
      <c r="Q44" s="52">
        <f t="shared" ref="Q44:Q59" si="12">CY44*R44+EP44</f>
        <v>1.872156254421813E-2</v>
      </c>
      <c r="R44" s="52">
        <f t="shared" ref="R44:R59" si="13">CZ44*S44+EQ44</f>
        <v>7.6560254836223534E-3</v>
      </c>
      <c r="S44" s="52">
        <f t="shared" ref="S44:S59" si="14">DA44*T44+ER44</f>
        <v>3.1308672080653582E-3</v>
      </c>
      <c r="T44" s="52">
        <f t="shared" ref="T44:T59" si="15">DB44*U44+ES44</f>
        <v>1.2803418096073824E-3</v>
      </c>
      <c r="U44" s="52">
        <f t="shared" ref="U44:AE59" si="16">DC44*V44+ET44</f>
        <v>5.235850287000711E-4</v>
      </c>
      <c r="V44" s="52">
        <f t="shared" si="16"/>
        <v>2.1411573673847724E-4</v>
      </c>
      <c r="W44" s="52">
        <f t="shared" si="16"/>
        <v>8.7560938087151736E-5</v>
      </c>
      <c r="X44" s="52">
        <f t="shared" si="16"/>
        <v>3.5807575649482073E-5</v>
      </c>
      <c r="Y44" s="52">
        <f t="shared" si="16"/>
        <v>1.4643859056452057E-5</v>
      </c>
      <c r="Z44" s="52">
        <f t="shared" si="16"/>
        <v>5.9900779787622551E-6</v>
      </c>
      <c r="AA44" s="52">
        <f t="shared" si="16"/>
        <v>2.4534923723822382E-6</v>
      </c>
      <c r="AB44" s="52">
        <f t="shared" si="16"/>
        <v>1.0128728120806008E-6</v>
      </c>
      <c r="AC44" s="52">
        <f t="shared" si="16"/>
        <v>4.3752882671607774E-7</v>
      </c>
      <c r="AD44" s="52">
        <f t="shared" si="16"/>
        <v>2.359563579456726E-7</v>
      </c>
      <c r="AE44" s="52">
        <f t="shared" ref="AE44:AE74" si="17">FC44/(1-DL44)</f>
        <v>2.3595635794567258E-7</v>
      </c>
      <c r="AF44" s="32"/>
      <c r="AG44" s="32"/>
      <c r="AH44" s="32"/>
      <c r="AI44" s="32"/>
      <c r="AJ44" s="32"/>
      <c r="AK44" s="32"/>
      <c r="AL44" s="33"/>
      <c r="AM44" s="33"/>
      <c r="AN44" s="33"/>
      <c r="AO44" s="33"/>
      <c r="AP44" s="33"/>
      <c r="AQ44" s="33"/>
      <c r="AR44" s="33"/>
      <c r="AS44" s="33"/>
      <c r="AT44" s="34"/>
      <c r="AU44" s="58">
        <f t="shared" ref="AU44:AU82" si="18">AU45+1</f>
        <v>41</v>
      </c>
      <c r="AV44" s="55" t="s">
        <v>25</v>
      </c>
      <c r="AW44" s="50">
        <f>-($C$16*$C$15/$C$13)*F2</f>
        <v>-1201970000</v>
      </c>
      <c r="AX44" s="50">
        <f t="shared" ref="AX44:BV46" si="19">-($C$16*$C$15/$C$13)*G2</f>
        <v>0</v>
      </c>
      <c r="AY44" s="50">
        <f t="shared" si="19"/>
        <v>0</v>
      </c>
      <c r="AZ44" s="50">
        <f t="shared" si="19"/>
        <v>0</v>
      </c>
      <c r="BA44" s="50">
        <f t="shared" si="19"/>
        <v>0</v>
      </c>
      <c r="BB44" s="50">
        <f t="shared" si="19"/>
        <v>0</v>
      </c>
      <c r="BC44" s="50">
        <f t="shared" si="19"/>
        <v>0</v>
      </c>
      <c r="BD44" s="50">
        <f t="shared" si="19"/>
        <v>0</v>
      </c>
      <c r="BE44" s="50">
        <f t="shared" si="19"/>
        <v>0</v>
      </c>
      <c r="BF44" s="50">
        <f t="shared" si="19"/>
        <v>0</v>
      </c>
      <c r="BG44" s="50">
        <f t="shared" si="19"/>
        <v>0</v>
      </c>
      <c r="BH44" s="50">
        <f t="shared" si="19"/>
        <v>0</v>
      </c>
      <c r="BI44" s="50">
        <f t="shared" si="19"/>
        <v>0</v>
      </c>
      <c r="BJ44" s="50">
        <f t="shared" si="19"/>
        <v>0</v>
      </c>
      <c r="BK44" s="50">
        <f t="shared" si="19"/>
        <v>0</v>
      </c>
      <c r="BL44" s="50">
        <f t="shared" si="19"/>
        <v>0</v>
      </c>
      <c r="BM44" s="50">
        <f t="shared" si="19"/>
        <v>0</v>
      </c>
      <c r="BN44" s="50">
        <f t="shared" si="19"/>
        <v>0</v>
      </c>
      <c r="BO44" s="50">
        <f t="shared" si="19"/>
        <v>0</v>
      </c>
      <c r="BP44" s="50">
        <f t="shared" si="19"/>
        <v>0</v>
      </c>
      <c r="BQ44" s="50">
        <f t="shared" si="19"/>
        <v>0</v>
      </c>
      <c r="BR44" s="50">
        <f t="shared" si="19"/>
        <v>0</v>
      </c>
      <c r="BS44" s="50">
        <f t="shared" si="19"/>
        <v>0</v>
      </c>
      <c r="BT44" s="50">
        <f t="shared" si="19"/>
        <v>0</v>
      </c>
      <c r="BU44" s="50">
        <f t="shared" si="19"/>
        <v>0</v>
      </c>
      <c r="BV44" s="50">
        <f t="shared" si="19"/>
        <v>0</v>
      </c>
      <c r="BW44" s="32"/>
      <c r="BX44" s="32"/>
      <c r="BY44" s="32"/>
      <c r="BZ44" s="32"/>
      <c r="CA44" s="32"/>
      <c r="CB44" s="32"/>
      <c r="CC44" s="33"/>
      <c r="CD44" s="33"/>
      <c r="CE44" s="33"/>
      <c r="CF44" s="33"/>
      <c r="CG44" s="33"/>
      <c r="CH44" s="33"/>
      <c r="CI44" s="33"/>
      <c r="CJ44" s="33"/>
      <c r="CK44" s="34"/>
      <c r="CM44" s="54" t="s">
        <v>26</v>
      </c>
      <c r="CN44" s="50">
        <v>0</v>
      </c>
      <c r="CO44" s="52">
        <f>$C$20/($C$21-$C$22*CN44)</f>
        <v>0.3503512227431978</v>
      </c>
      <c r="CP44" s="52">
        <f t="shared" ref="CP44:DC44" si="20">$C$20/($C$21-$C$22*CO44)</f>
        <v>0.39937260413433329</v>
      </c>
      <c r="CQ44" s="52">
        <f t="shared" si="20"/>
        <v>0.40734757210535305</v>
      </c>
      <c r="CR44" s="52">
        <f t="shared" si="20"/>
        <v>0.40867518771622741</v>
      </c>
      <c r="CS44" s="52">
        <f t="shared" si="20"/>
        <v>0.40889704034969959</v>
      </c>
      <c r="CT44" s="52">
        <f t="shared" si="20"/>
        <v>0.40893413676297885</v>
      </c>
      <c r="CU44" s="52">
        <f t="shared" si="20"/>
        <v>0.40894034038374732</v>
      </c>
      <c r="CV44" s="52">
        <f t="shared" si="20"/>
        <v>0.40894137783154072</v>
      </c>
      <c r="CW44" s="52">
        <f t="shared" si="20"/>
        <v>0.40894155132717347</v>
      </c>
      <c r="CX44" s="52">
        <f t="shared" si="20"/>
        <v>0.4089415803414041</v>
      </c>
      <c r="CY44" s="52">
        <f t="shared" si="20"/>
        <v>0.40894158519354729</v>
      </c>
      <c r="CZ44" s="52">
        <f t="shared" si="20"/>
        <v>0.40894158600498676</v>
      </c>
      <c r="DA44" s="52">
        <f t="shared" si="20"/>
        <v>0.40894158614068643</v>
      </c>
      <c r="DB44" s="52">
        <f t="shared" si="20"/>
        <v>0.40894158616337994</v>
      </c>
      <c r="DC44" s="52">
        <f t="shared" si="20"/>
        <v>0.40894158616717508</v>
      </c>
      <c r="DD44" s="52">
        <f t="shared" ref="DD44:DM44" si="21">$C$20/($C$21-$C$22*DC44)</f>
        <v>0.40894158616780968</v>
      </c>
      <c r="DE44" s="52">
        <f t="shared" si="21"/>
        <v>0.40894158616791582</v>
      </c>
      <c r="DF44" s="52">
        <f t="shared" si="21"/>
        <v>0.40894158616793358</v>
      </c>
      <c r="DG44" s="52">
        <f t="shared" si="21"/>
        <v>0.40894158616793652</v>
      </c>
      <c r="DH44" s="52">
        <f t="shared" si="21"/>
        <v>0.40894158616793708</v>
      </c>
      <c r="DI44" s="52">
        <f t="shared" si="21"/>
        <v>0.40894158616793713</v>
      </c>
      <c r="DJ44" s="52">
        <f t="shared" si="21"/>
        <v>0.40894158616793713</v>
      </c>
      <c r="DK44" s="52">
        <f t="shared" si="21"/>
        <v>0.40894158616793713</v>
      </c>
      <c r="DL44" s="52">
        <f t="shared" si="21"/>
        <v>0.40894158616793713</v>
      </c>
      <c r="DM44" s="52">
        <f t="shared" si="21"/>
        <v>0.40894158616793713</v>
      </c>
      <c r="DN44" s="32"/>
      <c r="DO44" s="32"/>
      <c r="DP44" s="32"/>
      <c r="DQ44" s="32"/>
      <c r="DR44" s="32"/>
      <c r="DS44" s="32"/>
      <c r="DT44" s="33"/>
      <c r="DU44" s="33"/>
      <c r="DV44" s="33"/>
      <c r="DW44" s="33"/>
      <c r="DX44" s="33"/>
      <c r="DY44" s="33"/>
      <c r="DZ44" s="33"/>
      <c r="EA44" s="33"/>
      <c r="EB44" s="34"/>
      <c r="EC44" s="58">
        <f t="shared" ref="EC44:EC82" si="22">EC45+1</f>
        <v>41</v>
      </c>
      <c r="ED44" s="54" t="s">
        <v>27</v>
      </c>
      <c r="EE44" s="50">
        <v>350</v>
      </c>
      <c r="EF44" s="52">
        <f>(EE44*$C$22-AX44)/($C$21-$C$22*CN44)</f>
        <v>122.62292796011923</v>
      </c>
      <c r="EG44" s="52">
        <f t="shared" ref="EG44:FD44" si="23">(EF44*$C$22-AY44)/($C$21-$C$22*CO44)</f>
        <v>48.972238066009567</v>
      </c>
      <c r="EH44" s="52">
        <f t="shared" si="23"/>
        <v>19.948722276754349</v>
      </c>
      <c r="EI44" s="52">
        <f t="shared" si="23"/>
        <v>8.1525478211514724</v>
      </c>
      <c r="EJ44" s="52">
        <f t="shared" si="23"/>
        <v>3.3335526753782294</v>
      </c>
      <c r="EK44" s="52">
        <f t="shared" si="23"/>
        <v>1.3632034856597151</v>
      </c>
      <c r="EL44" s="52">
        <f t="shared" si="23"/>
        <v>0.55746889743799466</v>
      </c>
      <c r="EM44" s="52">
        <f t="shared" si="23"/>
        <v>0.22797209901652338</v>
      </c>
      <c r="EN44" s="52">
        <f t="shared" si="23"/>
        <v>9.3227263831129073E-2</v>
      </c>
      <c r="EO44" s="52">
        <f t="shared" si="23"/>
        <v>3.8124504602006948E-2</v>
      </c>
      <c r="EP44" s="52">
        <f t="shared" si="23"/>
        <v>1.559069534666341E-2</v>
      </c>
      <c r="EQ44" s="52">
        <f t="shared" si="23"/>
        <v>6.3756836819851012E-3</v>
      </c>
      <c r="ER44" s="52">
        <f t="shared" si="23"/>
        <v>2.6072821976422787E-3</v>
      </c>
      <c r="ES44" s="52">
        <f t="shared" si="23"/>
        <v>1.0662261174793765E-3</v>
      </c>
      <c r="ET44" s="52">
        <f t="shared" si="23"/>
        <v>4.3602419969488495E-4</v>
      </c>
      <c r="EU44" s="52">
        <f t="shared" si="23"/>
        <v>1.7830842783077603E-4</v>
      </c>
      <c r="EV44" s="52">
        <f t="shared" si="23"/>
        <v>7.2917731304224893E-5</v>
      </c>
      <c r="EW44" s="52">
        <f t="shared" si="23"/>
        <v>2.9819092699316912E-5</v>
      </c>
      <c r="EX44" s="52">
        <f t="shared" si="23"/>
        <v>1.2194267066547393E-5</v>
      </c>
      <c r="EY44" s="52">
        <f t="shared" si="23"/>
        <v>4.9867429163493277E-6</v>
      </c>
      <c r="EZ44" s="52">
        <f t="shared" si="23"/>
        <v>2.0392865580236185E-6</v>
      </c>
      <c r="FA44" s="52">
        <f t="shared" si="23"/>
        <v>8.3394907968913152E-7</v>
      </c>
      <c r="FB44" s="52">
        <f t="shared" si="23"/>
        <v>3.4103645943136488E-7</v>
      </c>
      <c r="FC44" s="52">
        <f t="shared" si="23"/>
        <v>1.3946399066095971E-7</v>
      </c>
      <c r="FD44" s="52">
        <f t="shared" si="23"/>
        <v>5.7032625554203236E-8</v>
      </c>
      <c r="FE44" s="32"/>
      <c r="FF44" s="32"/>
      <c r="FG44" s="32"/>
      <c r="FH44" s="32"/>
      <c r="FI44" s="32"/>
      <c r="FJ44" s="32"/>
      <c r="FK44" s="33"/>
      <c r="FL44" s="33"/>
      <c r="FM44" s="33"/>
      <c r="FN44" s="33"/>
      <c r="FO44" s="33"/>
      <c r="FP44" s="33"/>
      <c r="FQ44" s="33"/>
      <c r="FR44" s="33"/>
      <c r="FS44" s="34"/>
    </row>
    <row r="45" spans="5:175">
      <c r="E45" s="48"/>
      <c r="F45" s="50">
        <v>350</v>
      </c>
      <c r="G45">
        <f t="shared" si="2"/>
        <v>143.129555158778</v>
      </c>
      <c r="H45">
        <f t="shared" si="3"/>
        <v>58.531627314141929</v>
      </c>
      <c r="I45">
        <f t="shared" si="4"/>
        <v>23.93601651483576</v>
      </c>
      <c r="J45">
        <f t="shared" si="5"/>
        <v>9.788432560118876</v>
      </c>
      <c r="K45">
        <f t="shared" si="6"/>
        <v>4.002897137232897</v>
      </c>
      <c r="L45">
        <f t="shared" si="7"/>
        <v>1.6369511045671215</v>
      </c>
      <c r="M45">
        <f t="shared" si="8"/>
        <v>0.66941738118104965</v>
      </c>
      <c r="N45">
        <f t="shared" si="9"/>
        <v>0.27375260566859994</v>
      </c>
      <c r="O45">
        <f t="shared" si="10"/>
        <v>0.1119488247798084</v>
      </c>
      <c r="P45">
        <f t="shared" si="11"/>
        <v>4.5780529975299945E-2</v>
      </c>
      <c r="Q45">
        <f t="shared" si="12"/>
        <v>1.872156254421813E-2</v>
      </c>
      <c r="R45">
        <f t="shared" si="13"/>
        <v>7.6560254836223534E-3</v>
      </c>
      <c r="S45">
        <f t="shared" si="14"/>
        <v>3.1308672080653582E-3</v>
      </c>
      <c r="T45">
        <f t="shared" si="15"/>
        <v>1.2803418096073824E-3</v>
      </c>
      <c r="U45">
        <f t="shared" si="16"/>
        <v>5.235850287000711E-4</v>
      </c>
      <c r="V45">
        <f t="shared" si="16"/>
        <v>2.1411573673847724E-4</v>
      </c>
      <c r="W45">
        <f t="shared" si="16"/>
        <v>8.7560938087151736E-5</v>
      </c>
      <c r="X45">
        <f t="shared" si="16"/>
        <v>3.5807575649482073E-5</v>
      </c>
      <c r="Y45">
        <f t="shared" si="16"/>
        <v>1.4643859056452057E-5</v>
      </c>
      <c r="Z45">
        <f t="shared" si="16"/>
        <v>5.9900779787622551E-6</v>
      </c>
      <c r="AA45">
        <f t="shared" si="16"/>
        <v>2.4534923723822382E-6</v>
      </c>
      <c r="AB45">
        <f t="shared" si="16"/>
        <v>1.0128728120806008E-6</v>
      </c>
      <c r="AC45">
        <f t="shared" si="16"/>
        <v>4.3752882671607774E-7</v>
      </c>
      <c r="AD45">
        <f t="shared" si="16"/>
        <v>2.359563579456726E-7</v>
      </c>
      <c r="AE45" s="52">
        <f t="shared" si="17"/>
        <v>2.3595635794567258E-7</v>
      </c>
      <c r="AF45" s="16"/>
      <c r="AG45" s="16"/>
      <c r="AH45" s="16"/>
      <c r="AI45" s="16"/>
      <c r="AJ45" s="16"/>
      <c r="AK45" s="16"/>
      <c r="AL45" s="28"/>
      <c r="AM45" s="28"/>
      <c r="AN45" s="28"/>
      <c r="AO45" s="28"/>
      <c r="AP45" s="28"/>
      <c r="AQ45" s="28"/>
      <c r="AR45" s="28"/>
      <c r="AS45" s="28"/>
      <c r="AT45" s="35"/>
      <c r="AU45" s="58">
        <f t="shared" si="18"/>
        <v>40</v>
      </c>
      <c r="AV45" s="46"/>
      <c r="AW45" s="50">
        <f t="shared" ref="AW45:AW59" si="24">-($C$16*$C$15/$C$13)*F3</f>
        <v>-1201970000</v>
      </c>
      <c r="AX45">
        <f t="shared" si="19"/>
        <v>0</v>
      </c>
      <c r="AY45">
        <f t="shared" si="19"/>
        <v>0</v>
      </c>
      <c r="AZ45">
        <f t="shared" si="19"/>
        <v>0</v>
      </c>
      <c r="BA45">
        <f t="shared" si="19"/>
        <v>0</v>
      </c>
      <c r="BB45">
        <f t="shared" si="19"/>
        <v>0</v>
      </c>
      <c r="BC45">
        <f t="shared" si="19"/>
        <v>0</v>
      </c>
      <c r="BD45">
        <f t="shared" si="19"/>
        <v>0</v>
      </c>
      <c r="BE45">
        <f t="shared" si="19"/>
        <v>0</v>
      </c>
      <c r="BF45">
        <f t="shared" si="19"/>
        <v>0</v>
      </c>
      <c r="BG45">
        <f t="shared" si="19"/>
        <v>0</v>
      </c>
      <c r="BH45">
        <f t="shared" si="19"/>
        <v>0</v>
      </c>
      <c r="BI45">
        <f t="shared" si="19"/>
        <v>0</v>
      </c>
      <c r="BJ45">
        <f t="shared" si="19"/>
        <v>0</v>
      </c>
      <c r="BK45">
        <f t="shared" si="19"/>
        <v>0</v>
      </c>
      <c r="BL45">
        <f t="shared" si="19"/>
        <v>0</v>
      </c>
      <c r="BM45">
        <f t="shared" si="19"/>
        <v>0</v>
      </c>
      <c r="BN45">
        <f t="shared" si="19"/>
        <v>0</v>
      </c>
      <c r="BO45">
        <f t="shared" si="19"/>
        <v>0</v>
      </c>
      <c r="BP45">
        <f t="shared" si="19"/>
        <v>0</v>
      </c>
      <c r="BQ45">
        <f t="shared" si="19"/>
        <v>0</v>
      </c>
      <c r="BR45">
        <f t="shared" si="19"/>
        <v>0</v>
      </c>
      <c r="BS45">
        <f t="shared" si="19"/>
        <v>0</v>
      </c>
      <c r="BT45">
        <f t="shared" si="19"/>
        <v>0</v>
      </c>
      <c r="BU45">
        <f t="shared" si="19"/>
        <v>0</v>
      </c>
      <c r="BV45" s="50">
        <f t="shared" si="19"/>
        <v>0</v>
      </c>
      <c r="BW45" s="16"/>
      <c r="BX45" s="16"/>
      <c r="BY45" s="16"/>
      <c r="BZ45" s="16"/>
      <c r="CA45" s="16"/>
      <c r="CB45" s="16"/>
      <c r="CC45" s="28"/>
      <c r="CD45" s="28"/>
      <c r="CE45" s="28"/>
      <c r="CF45" s="28"/>
      <c r="CG45" s="28"/>
      <c r="CH45" s="28"/>
      <c r="CI45" s="28"/>
      <c r="CJ45" s="28"/>
      <c r="CK45" s="35"/>
      <c r="CM45" s="44"/>
      <c r="CN45" s="50">
        <v>0</v>
      </c>
      <c r="CO45">
        <f t="shared" ref="CO45:DC45" si="25">$C$20/($C$21-$C$22*CN45)</f>
        <v>0.3503512227431978</v>
      </c>
      <c r="CP45">
        <f t="shared" si="25"/>
        <v>0.39937260413433329</v>
      </c>
      <c r="CQ45">
        <f t="shared" si="25"/>
        <v>0.40734757210535305</v>
      </c>
      <c r="CR45">
        <f t="shared" si="25"/>
        <v>0.40867518771622741</v>
      </c>
      <c r="CS45">
        <f t="shared" si="25"/>
        <v>0.40889704034969959</v>
      </c>
      <c r="CT45">
        <f t="shared" si="25"/>
        <v>0.40893413676297885</v>
      </c>
      <c r="CU45">
        <f t="shared" si="25"/>
        <v>0.40894034038374732</v>
      </c>
      <c r="CV45">
        <f t="shared" si="25"/>
        <v>0.40894137783154072</v>
      </c>
      <c r="CW45">
        <f t="shared" si="25"/>
        <v>0.40894155132717347</v>
      </c>
      <c r="CX45">
        <f t="shared" si="25"/>
        <v>0.4089415803414041</v>
      </c>
      <c r="CY45">
        <f t="shared" si="25"/>
        <v>0.40894158519354729</v>
      </c>
      <c r="CZ45">
        <f t="shared" si="25"/>
        <v>0.40894158600498676</v>
      </c>
      <c r="DA45">
        <f t="shared" si="25"/>
        <v>0.40894158614068643</v>
      </c>
      <c r="DB45">
        <f t="shared" si="25"/>
        <v>0.40894158616337994</v>
      </c>
      <c r="DC45">
        <f t="shared" si="25"/>
        <v>0.40894158616717508</v>
      </c>
      <c r="DD45">
        <f t="shared" ref="DD45:DM45" si="26">$C$20/($C$21-$C$22*DC45)</f>
        <v>0.40894158616780968</v>
      </c>
      <c r="DE45">
        <f t="shared" si="26"/>
        <v>0.40894158616791582</v>
      </c>
      <c r="DF45">
        <f t="shared" si="26"/>
        <v>0.40894158616793358</v>
      </c>
      <c r="DG45">
        <f t="shared" si="26"/>
        <v>0.40894158616793652</v>
      </c>
      <c r="DH45">
        <f t="shared" si="26"/>
        <v>0.40894158616793708</v>
      </c>
      <c r="DI45">
        <f t="shared" si="26"/>
        <v>0.40894158616793713</v>
      </c>
      <c r="DJ45">
        <f t="shared" si="26"/>
        <v>0.40894158616793713</v>
      </c>
      <c r="DK45">
        <f t="shared" si="26"/>
        <v>0.40894158616793713</v>
      </c>
      <c r="DL45">
        <f t="shared" si="26"/>
        <v>0.40894158616793713</v>
      </c>
      <c r="DM45" s="52">
        <f t="shared" si="26"/>
        <v>0.40894158616793713</v>
      </c>
      <c r="DN45" s="16"/>
      <c r="DO45" s="16"/>
      <c r="DP45" s="16"/>
      <c r="DQ45" s="16"/>
      <c r="DR45" s="16"/>
      <c r="DS45" s="16"/>
      <c r="DT45" s="28"/>
      <c r="DU45" s="28"/>
      <c r="DV45" s="28"/>
      <c r="DW45" s="28"/>
      <c r="DX45" s="28"/>
      <c r="DY45" s="28"/>
      <c r="DZ45" s="28"/>
      <c r="EA45" s="28"/>
      <c r="EB45" s="35"/>
      <c r="EC45" s="58">
        <f t="shared" si="22"/>
        <v>40</v>
      </c>
      <c r="ED45" s="44"/>
      <c r="EE45" s="50">
        <v>350</v>
      </c>
      <c r="EF45">
        <f t="shared" ref="EF45:EF59" si="27">(EE45*$C$22-AX45)/($C$21-$C$22*CN45)</f>
        <v>122.62292796011923</v>
      </c>
      <c r="EG45">
        <f t="shared" ref="EG45:EG59" si="28">(EF45*$C$22-AY45)/($C$21-$C$22*CO45)</f>
        <v>48.972238066009567</v>
      </c>
      <c r="EH45">
        <f t="shared" ref="EH45:EH59" si="29">(EG45*$C$22-AZ45)/($C$21-$C$22*CP45)</f>
        <v>19.948722276754349</v>
      </c>
      <c r="EI45">
        <f t="shared" ref="EI45:EI59" si="30">(EH45*$C$22-BA45)/($C$21-$C$22*CQ45)</f>
        <v>8.1525478211514724</v>
      </c>
      <c r="EJ45">
        <f t="shared" ref="EJ45:EJ59" si="31">(EI45*$C$22-BB45)/($C$21-$C$22*CR45)</f>
        <v>3.3335526753782294</v>
      </c>
      <c r="EK45">
        <f t="shared" ref="EK45:EK59" si="32">(EJ45*$C$22-BC45)/($C$21-$C$22*CS45)</f>
        <v>1.3632034856597151</v>
      </c>
      <c r="EL45">
        <f t="shared" ref="EL45:EL59" si="33">(EK45*$C$22-BD45)/($C$21-$C$22*CT45)</f>
        <v>0.55746889743799466</v>
      </c>
      <c r="EM45">
        <f t="shared" ref="EM45:EM59" si="34">(EL45*$C$22-BE45)/($C$21-$C$22*CU45)</f>
        <v>0.22797209901652338</v>
      </c>
      <c r="EN45">
        <f t="shared" ref="EN45:EN59" si="35">(EM45*$C$22-BF45)/($C$21-$C$22*CV45)</f>
        <v>9.3227263831129073E-2</v>
      </c>
      <c r="EO45">
        <f t="shared" ref="EO45:EO59" si="36">(EN45*$C$22-BG45)/($C$21-$C$22*CW45)</f>
        <v>3.8124504602006948E-2</v>
      </c>
      <c r="EP45">
        <f t="shared" ref="EP45:EP59" si="37">(EO45*$C$22-BH45)/($C$21-$C$22*CX45)</f>
        <v>1.559069534666341E-2</v>
      </c>
      <c r="EQ45">
        <f t="shared" ref="EQ45:EQ59" si="38">(EP45*$C$22-BI45)/($C$21-$C$22*CY45)</f>
        <v>6.3756836819851012E-3</v>
      </c>
      <c r="ER45">
        <f t="shared" ref="ER45:ER59" si="39">(EQ45*$C$22-BJ45)/($C$21-$C$22*CZ45)</f>
        <v>2.6072821976422787E-3</v>
      </c>
      <c r="ES45">
        <f t="shared" ref="ES45:ES59" si="40">(ER45*$C$22-BK45)/($C$21-$C$22*DA45)</f>
        <v>1.0662261174793765E-3</v>
      </c>
      <c r="ET45">
        <f t="shared" ref="ET45:ET59" si="41">(ES45*$C$22-BL45)/($C$21-$C$22*DB45)</f>
        <v>4.3602419969488495E-4</v>
      </c>
      <c r="EU45">
        <f t="shared" ref="EU45:EU59" si="42">(ET45*$C$22-BM45)/($C$21-$C$22*DC45)</f>
        <v>1.7830842783077603E-4</v>
      </c>
      <c r="EV45">
        <f t="shared" ref="EV45:EV59" si="43">(EU45*$C$22-BN45)/($C$21-$C$22*DD45)</f>
        <v>7.2917731304224893E-5</v>
      </c>
      <c r="EW45">
        <f t="shared" ref="EW45:EW59" si="44">(EV45*$C$22-BO45)/($C$21-$C$22*DE45)</f>
        <v>2.9819092699316912E-5</v>
      </c>
      <c r="EX45">
        <f t="shared" ref="EX45:EX59" si="45">(EW45*$C$22-BP45)/($C$21-$C$22*DF45)</f>
        <v>1.2194267066547393E-5</v>
      </c>
      <c r="EY45">
        <f t="shared" ref="EY45:EY59" si="46">(EX45*$C$22-BQ45)/($C$21-$C$22*DG45)</f>
        <v>4.9867429163493277E-6</v>
      </c>
      <c r="EZ45">
        <f t="shared" ref="EZ45:EZ59" si="47">(EY45*$C$22-BR45)/($C$21-$C$22*DH45)</f>
        <v>2.0392865580236185E-6</v>
      </c>
      <c r="FA45">
        <f t="shared" ref="FA45:FA59" si="48">(EZ45*$C$22-BS45)/($C$21-$C$22*DI45)</f>
        <v>8.3394907968913152E-7</v>
      </c>
      <c r="FB45">
        <f t="shared" ref="FB45:FB59" si="49">(FA45*$C$22-BT45)/($C$21-$C$22*DJ45)</f>
        <v>3.4103645943136488E-7</v>
      </c>
      <c r="FC45">
        <f t="shared" ref="FC45:FC59" si="50">(FB45*$C$22-BU45)/($C$21-$C$22*DK45)</f>
        <v>1.3946399066095971E-7</v>
      </c>
      <c r="FD45" s="52">
        <f t="shared" ref="FD45:FD59" si="51">(FC45*$C$22-BV45)/($C$21-$C$22*DL45)</f>
        <v>5.7032625554203236E-8</v>
      </c>
      <c r="FE45" s="16"/>
      <c r="FF45" s="16"/>
      <c r="FG45" s="16"/>
      <c r="FH45" s="16"/>
      <c r="FI45" s="16"/>
      <c r="FJ45" s="16"/>
      <c r="FK45" s="28"/>
      <c r="FL45" s="28"/>
      <c r="FM45" s="28"/>
      <c r="FN45" s="28"/>
      <c r="FO45" s="28"/>
      <c r="FP45" s="28"/>
      <c r="FQ45" s="28"/>
      <c r="FR45" s="28"/>
      <c r="FS45" s="35"/>
    </row>
    <row r="46" spans="5:175">
      <c r="E46" s="48"/>
      <c r="F46" s="50">
        <v>350</v>
      </c>
      <c r="G46">
        <f t="shared" si="2"/>
        <v>143.129555158778</v>
      </c>
      <c r="H46">
        <f t="shared" si="3"/>
        <v>58.531627314141929</v>
      </c>
      <c r="I46">
        <f t="shared" si="4"/>
        <v>23.93601651483576</v>
      </c>
      <c r="J46">
        <f t="shared" si="5"/>
        <v>9.788432560118876</v>
      </c>
      <c r="K46">
        <f t="shared" si="6"/>
        <v>4.002897137232897</v>
      </c>
      <c r="L46">
        <f t="shared" si="7"/>
        <v>1.6369511045671215</v>
      </c>
      <c r="M46">
        <f t="shared" si="8"/>
        <v>0.66941738118104965</v>
      </c>
      <c r="N46">
        <f t="shared" si="9"/>
        <v>0.27375260566859994</v>
      </c>
      <c r="O46">
        <f t="shared" si="10"/>
        <v>0.1119488247798084</v>
      </c>
      <c r="P46">
        <f t="shared" si="11"/>
        <v>4.5780529975299945E-2</v>
      </c>
      <c r="Q46">
        <f t="shared" si="12"/>
        <v>1.872156254421813E-2</v>
      </c>
      <c r="R46">
        <f t="shared" si="13"/>
        <v>7.6560254836223534E-3</v>
      </c>
      <c r="S46">
        <f t="shared" si="14"/>
        <v>3.1308672080653582E-3</v>
      </c>
      <c r="T46">
        <f t="shared" si="15"/>
        <v>1.2803418096073824E-3</v>
      </c>
      <c r="U46">
        <f t="shared" si="16"/>
        <v>5.235850287000711E-4</v>
      </c>
      <c r="V46">
        <f t="shared" si="16"/>
        <v>2.1411573673847724E-4</v>
      </c>
      <c r="W46">
        <f t="shared" si="16"/>
        <v>8.7560938087151736E-5</v>
      </c>
      <c r="X46">
        <f t="shared" si="16"/>
        <v>3.5807575649482073E-5</v>
      </c>
      <c r="Y46">
        <f t="shared" si="16"/>
        <v>1.4643859056452057E-5</v>
      </c>
      <c r="Z46">
        <f t="shared" si="16"/>
        <v>5.9900779787622551E-6</v>
      </c>
      <c r="AA46">
        <f t="shared" si="16"/>
        <v>2.4534923723822382E-6</v>
      </c>
      <c r="AB46">
        <f t="shared" si="16"/>
        <v>1.0128728120806008E-6</v>
      </c>
      <c r="AC46">
        <f t="shared" si="16"/>
        <v>4.3752882671607774E-7</v>
      </c>
      <c r="AD46">
        <f t="shared" si="16"/>
        <v>2.359563579456726E-7</v>
      </c>
      <c r="AE46" s="52">
        <f t="shared" si="17"/>
        <v>2.3595635794567258E-7</v>
      </c>
      <c r="AF46" s="16"/>
      <c r="AG46" s="16"/>
      <c r="AH46" s="16"/>
      <c r="AI46" s="16"/>
      <c r="AJ46" s="16"/>
      <c r="AK46" s="16"/>
      <c r="AL46" s="28"/>
      <c r="AM46" s="28"/>
      <c r="AN46" s="28"/>
      <c r="AO46" s="28"/>
      <c r="AP46" s="28"/>
      <c r="AQ46" s="28"/>
      <c r="AR46" s="28"/>
      <c r="AS46" s="28"/>
      <c r="AT46" s="35"/>
      <c r="AU46" s="58">
        <f t="shared" si="18"/>
        <v>39</v>
      </c>
      <c r="AV46" s="46"/>
      <c r="AW46" s="50">
        <f t="shared" si="24"/>
        <v>-1201970000</v>
      </c>
      <c r="AX46">
        <f t="shared" si="19"/>
        <v>0</v>
      </c>
      <c r="AY46">
        <f t="shared" si="19"/>
        <v>0</v>
      </c>
      <c r="AZ46">
        <f t="shared" si="19"/>
        <v>0</v>
      </c>
      <c r="BA46">
        <f t="shared" si="19"/>
        <v>0</v>
      </c>
      <c r="BB46">
        <f t="shared" si="19"/>
        <v>0</v>
      </c>
      <c r="BC46">
        <f t="shared" si="19"/>
        <v>0</v>
      </c>
      <c r="BD46">
        <f t="shared" si="19"/>
        <v>0</v>
      </c>
      <c r="BE46">
        <f t="shared" si="19"/>
        <v>0</v>
      </c>
      <c r="BF46">
        <f t="shared" si="19"/>
        <v>0</v>
      </c>
      <c r="BG46">
        <f t="shared" si="19"/>
        <v>0</v>
      </c>
      <c r="BH46">
        <f t="shared" si="19"/>
        <v>0</v>
      </c>
      <c r="BI46">
        <f t="shared" si="19"/>
        <v>0</v>
      </c>
      <c r="BJ46">
        <f t="shared" si="19"/>
        <v>0</v>
      </c>
      <c r="BK46">
        <f t="shared" si="19"/>
        <v>0</v>
      </c>
      <c r="BL46">
        <f t="shared" si="19"/>
        <v>0</v>
      </c>
      <c r="BM46">
        <f t="shared" si="19"/>
        <v>0</v>
      </c>
      <c r="BN46">
        <f t="shared" si="19"/>
        <v>0</v>
      </c>
      <c r="BO46">
        <f t="shared" si="19"/>
        <v>0</v>
      </c>
      <c r="BP46">
        <f t="shared" si="19"/>
        <v>0</v>
      </c>
      <c r="BQ46">
        <f t="shared" si="19"/>
        <v>0</v>
      </c>
      <c r="BR46">
        <f t="shared" si="19"/>
        <v>0</v>
      </c>
      <c r="BS46">
        <f t="shared" si="19"/>
        <v>0</v>
      </c>
      <c r="BT46">
        <f t="shared" si="19"/>
        <v>0</v>
      </c>
      <c r="BU46">
        <f t="shared" si="19"/>
        <v>0</v>
      </c>
      <c r="BV46" s="50">
        <f t="shared" si="19"/>
        <v>0</v>
      </c>
      <c r="BW46" s="16"/>
      <c r="BX46" s="16"/>
      <c r="BY46" s="16"/>
      <c r="BZ46" s="16"/>
      <c r="CA46" s="16"/>
      <c r="CB46" s="16"/>
      <c r="CC46" s="28"/>
      <c r="CD46" s="28"/>
      <c r="CE46" s="28"/>
      <c r="CF46" s="28"/>
      <c r="CG46" s="28"/>
      <c r="CH46" s="28"/>
      <c r="CI46" s="28"/>
      <c r="CJ46" s="28"/>
      <c r="CK46" s="35"/>
      <c r="CM46" s="44"/>
      <c r="CN46" s="50">
        <v>0</v>
      </c>
      <c r="CO46">
        <f t="shared" ref="CO46:DC46" si="52">$C$20/($C$21-$C$22*CN46)</f>
        <v>0.3503512227431978</v>
      </c>
      <c r="CP46">
        <f t="shared" si="52"/>
        <v>0.39937260413433329</v>
      </c>
      <c r="CQ46">
        <f t="shared" si="52"/>
        <v>0.40734757210535305</v>
      </c>
      <c r="CR46">
        <f t="shared" si="52"/>
        <v>0.40867518771622741</v>
      </c>
      <c r="CS46">
        <f t="shared" si="52"/>
        <v>0.40889704034969959</v>
      </c>
      <c r="CT46">
        <f t="shared" si="52"/>
        <v>0.40893413676297885</v>
      </c>
      <c r="CU46">
        <f t="shared" si="52"/>
        <v>0.40894034038374732</v>
      </c>
      <c r="CV46">
        <f t="shared" si="52"/>
        <v>0.40894137783154072</v>
      </c>
      <c r="CW46">
        <f t="shared" si="52"/>
        <v>0.40894155132717347</v>
      </c>
      <c r="CX46">
        <f t="shared" si="52"/>
        <v>0.4089415803414041</v>
      </c>
      <c r="CY46">
        <f t="shared" si="52"/>
        <v>0.40894158519354729</v>
      </c>
      <c r="CZ46">
        <f t="shared" si="52"/>
        <v>0.40894158600498676</v>
      </c>
      <c r="DA46">
        <f t="shared" si="52"/>
        <v>0.40894158614068643</v>
      </c>
      <c r="DB46">
        <f t="shared" si="52"/>
        <v>0.40894158616337994</v>
      </c>
      <c r="DC46">
        <f t="shared" si="52"/>
        <v>0.40894158616717508</v>
      </c>
      <c r="DD46">
        <f t="shared" ref="DD46:DM46" si="53">$C$20/($C$21-$C$22*DC46)</f>
        <v>0.40894158616780968</v>
      </c>
      <c r="DE46">
        <f t="shared" si="53"/>
        <v>0.40894158616791582</v>
      </c>
      <c r="DF46">
        <f t="shared" si="53"/>
        <v>0.40894158616793358</v>
      </c>
      <c r="DG46">
        <f t="shared" si="53"/>
        <v>0.40894158616793652</v>
      </c>
      <c r="DH46">
        <f t="shared" si="53"/>
        <v>0.40894158616793708</v>
      </c>
      <c r="DI46">
        <f t="shared" si="53"/>
        <v>0.40894158616793713</v>
      </c>
      <c r="DJ46">
        <f t="shared" si="53"/>
        <v>0.40894158616793713</v>
      </c>
      <c r="DK46">
        <f t="shared" si="53"/>
        <v>0.40894158616793713</v>
      </c>
      <c r="DL46">
        <f t="shared" si="53"/>
        <v>0.40894158616793713</v>
      </c>
      <c r="DM46" s="52">
        <f t="shared" si="53"/>
        <v>0.40894158616793713</v>
      </c>
      <c r="DN46" s="16"/>
      <c r="DO46" s="16"/>
      <c r="DP46" s="16"/>
      <c r="DQ46" s="16"/>
      <c r="DR46" s="16"/>
      <c r="DS46" s="16"/>
      <c r="DT46" s="28"/>
      <c r="DU46" s="28"/>
      <c r="DV46" s="28"/>
      <c r="DW46" s="28"/>
      <c r="DX46" s="28"/>
      <c r="DY46" s="28"/>
      <c r="DZ46" s="28"/>
      <c r="EA46" s="28"/>
      <c r="EB46" s="35"/>
      <c r="EC46" s="58">
        <f t="shared" si="22"/>
        <v>39</v>
      </c>
      <c r="ED46" s="44"/>
      <c r="EE46" s="50">
        <v>350</v>
      </c>
      <c r="EF46">
        <f t="shared" si="27"/>
        <v>122.62292796011923</v>
      </c>
      <c r="EG46">
        <f t="shared" si="28"/>
        <v>48.972238066009567</v>
      </c>
      <c r="EH46">
        <f t="shared" si="29"/>
        <v>19.948722276754349</v>
      </c>
      <c r="EI46">
        <f t="shared" si="30"/>
        <v>8.1525478211514724</v>
      </c>
      <c r="EJ46">
        <f t="shared" si="31"/>
        <v>3.3335526753782294</v>
      </c>
      <c r="EK46">
        <f t="shared" si="32"/>
        <v>1.3632034856597151</v>
      </c>
      <c r="EL46">
        <f t="shared" si="33"/>
        <v>0.55746889743799466</v>
      </c>
      <c r="EM46">
        <f t="shared" si="34"/>
        <v>0.22797209901652338</v>
      </c>
      <c r="EN46">
        <f t="shared" si="35"/>
        <v>9.3227263831129073E-2</v>
      </c>
      <c r="EO46">
        <f t="shared" si="36"/>
        <v>3.8124504602006948E-2</v>
      </c>
      <c r="EP46">
        <f t="shared" si="37"/>
        <v>1.559069534666341E-2</v>
      </c>
      <c r="EQ46">
        <f t="shared" si="38"/>
        <v>6.3756836819851012E-3</v>
      </c>
      <c r="ER46">
        <f t="shared" si="39"/>
        <v>2.6072821976422787E-3</v>
      </c>
      <c r="ES46">
        <f t="shared" si="40"/>
        <v>1.0662261174793765E-3</v>
      </c>
      <c r="ET46">
        <f t="shared" si="41"/>
        <v>4.3602419969488495E-4</v>
      </c>
      <c r="EU46">
        <f t="shared" si="42"/>
        <v>1.7830842783077603E-4</v>
      </c>
      <c r="EV46">
        <f t="shared" si="43"/>
        <v>7.2917731304224893E-5</v>
      </c>
      <c r="EW46">
        <f t="shared" si="44"/>
        <v>2.9819092699316912E-5</v>
      </c>
      <c r="EX46">
        <f t="shared" si="45"/>
        <v>1.2194267066547393E-5</v>
      </c>
      <c r="EY46">
        <f t="shared" si="46"/>
        <v>4.9867429163493277E-6</v>
      </c>
      <c r="EZ46">
        <f t="shared" si="47"/>
        <v>2.0392865580236185E-6</v>
      </c>
      <c r="FA46">
        <f t="shared" si="48"/>
        <v>8.3394907968913152E-7</v>
      </c>
      <c r="FB46">
        <f t="shared" si="49"/>
        <v>3.4103645943136488E-7</v>
      </c>
      <c r="FC46">
        <f t="shared" si="50"/>
        <v>1.3946399066095971E-7</v>
      </c>
      <c r="FD46" s="52">
        <f t="shared" si="51"/>
        <v>5.7032625554203236E-8</v>
      </c>
      <c r="FE46" s="16"/>
      <c r="FF46" s="16"/>
      <c r="FG46" s="16"/>
      <c r="FH46" s="16"/>
      <c r="FI46" s="16"/>
      <c r="FJ46" s="16"/>
      <c r="FK46" s="28"/>
      <c r="FL46" s="28"/>
      <c r="FM46" s="28"/>
      <c r="FN46" s="28"/>
      <c r="FO46" s="28"/>
      <c r="FP46" s="28"/>
      <c r="FQ46" s="28"/>
      <c r="FR46" s="28"/>
      <c r="FS46" s="35"/>
    </row>
    <row r="47" spans="5:175">
      <c r="E47" s="48"/>
      <c r="F47" s="50">
        <v>350</v>
      </c>
      <c r="G47">
        <f t="shared" si="2"/>
        <v>143.129555158778</v>
      </c>
      <c r="H47">
        <f t="shared" si="3"/>
        <v>58.531627314141929</v>
      </c>
      <c r="I47">
        <f t="shared" si="4"/>
        <v>23.93601651483576</v>
      </c>
      <c r="J47">
        <f t="shared" si="5"/>
        <v>9.788432560118876</v>
      </c>
      <c r="K47">
        <f t="shared" si="6"/>
        <v>4.002897137232897</v>
      </c>
      <c r="L47">
        <f t="shared" si="7"/>
        <v>1.6369511045671215</v>
      </c>
      <c r="M47">
        <f t="shared" si="8"/>
        <v>0.66941738118104965</v>
      </c>
      <c r="N47">
        <f t="shared" si="9"/>
        <v>0.27375260566859994</v>
      </c>
      <c r="O47">
        <f t="shared" si="10"/>
        <v>0.1119488247798084</v>
      </c>
      <c r="P47">
        <f t="shared" si="11"/>
        <v>4.5780529975299945E-2</v>
      </c>
      <c r="Q47">
        <f t="shared" si="12"/>
        <v>1.872156254421813E-2</v>
      </c>
      <c r="R47">
        <f t="shared" si="13"/>
        <v>7.6560254836223534E-3</v>
      </c>
      <c r="S47">
        <f t="shared" si="14"/>
        <v>3.1308672080653582E-3</v>
      </c>
      <c r="T47">
        <f t="shared" si="15"/>
        <v>1.2803418096073824E-3</v>
      </c>
      <c r="U47">
        <f t="shared" si="16"/>
        <v>5.235850287000711E-4</v>
      </c>
      <c r="V47">
        <f t="shared" si="16"/>
        <v>2.1411573673847724E-4</v>
      </c>
      <c r="W47">
        <f t="shared" si="16"/>
        <v>8.7560938087151736E-5</v>
      </c>
      <c r="X47">
        <f t="shared" si="16"/>
        <v>3.5807575649482073E-5</v>
      </c>
      <c r="Y47">
        <f t="shared" si="16"/>
        <v>1.4643859056452057E-5</v>
      </c>
      <c r="Z47">
        <f t="shared" si="16"/>
        <v>5.9900779787622551E-6</v>
      </c>
      <c r="AA47">
        <f t="shared" si="16"/>
        <v>2.4534923723822382E-6</v>
      </c>
      <c r="AB47">
        <f t="shared" si="16"/>
        <v>1.0128728120806008E-6</v>
      </c>
      <c r="AC47">
        <f t="shared" si="16"/>
        <v>4.3752882671607774E-7</v>
      </c>
      <c r="AD47">
        <f t="shared" si="16"/>
        <v>2.359563579456726E-7</v>
      </c>
      <c r="AE47" s="52">
        <f t="shared" si="17"/>
        <v>2.3595635794567258E-7</v>
      </c>
      <c r="AF47" s="16"/>
      <c r="AG47" s="16"/>
      <c r="AH47" s="16"/>
      <c r="AI47" s="16"/>
      <c r="AJ47" s="16"/>
      <c r="AK47" s="16"/>
      <c r="AL47" s="28"/>
      <c r="AM47" s="28"/>
      <c r="AN47" s="28"/>
      <c r="AO47" s="28"/>
      <c r="AP47" s="28"/>
      <c r="AQ47" s="28"/>
      <c r="AR47" s="28"/>
      <c r="AS47" s="28"/>
      <c r="AT47" s="35"/>
      <c r="AU47" s="58">
        <f t="shared" si="18"/>
        <v>38</v>
      </c>
      <c r="AV47" s="46"/>
      <c r="AW47" s="50">
        <f t="shared" ref="AW47:AW59" si="54">-($C$16*$C$15/$C$13)*F5</f>
        <v>-1201970000</v>
      </c>
      <c r="AX47">
        <f t="shared" ref="AX47:AX59" si="55">-($C$16*$C$15/$C$13)*G5</f>
        <v>0</v>
      </c>
      <c r="AY47">
        <f t="shared" ref="AY47:AY59" si="56">-($C$16*$C$15/$C$13)*H5</f>
        <v>0</v>
      </c>
      <c r="AZ47">
        <f t="shared" ref="AZ47:AZ59" si="57">-($C$16*$C$15/$C$13)*I5</f>
        <v>0</v>
      </c>
      <c r="BA47">
        <f t="shared" ref="BA47:BA59" si="58">-($C$16*$C$15/$C$13)*J5</f>
        <v>0</v>
      </c>
      <c r="BB47">
        <f t="shared" ref="BB47:BB59" si="59">-($C$16*$C$15/$C$13)*K5</f>
        <v>0</v>
      </c>
      <c r="BC47">
        <f t="shared" ref="BC47:BC59" si="60">-($C$16*$C$15/$C$13)*L5</f>
        <v>0</v>
      </c>
      <c r="BD47">
        <f t="shared" ref="BD47:BD59" si="61">-($C$16*$C$15/$C$13)*M5</f>
        <v>0</v>
      </c>
      <c r="BE47">
        <f t="shared" ref="BE47:BE59" si="62">-($C$16*$C$15/$C$13)*N5</f>
        <v>0</v>
      </c>
      <c r="BF47">
        <f t="shared" ref="BF47:BF59" si="63">-($C$16*$C$15/$C$13)*O5</f>
        <v>0</v>
      </c>
      <c r="BG47">
        <f t="shared" ref="BG47:BG59" si="64">-($C$16*$C$15/$C$13)*P5</f>
        <v>0</v>
      </c>
      <c r="BH47">
        <f t="shared" ref="BH47:BH59" si="65">-($C$16*$C$15/$C$13)*Q5</f>
        <v>0</v>
      </c>
      <c r="BI47">
        <f t="shared" ref="BI47:BI59" si="66">-($C$16*$C$15/$C$13)*R5</f>
        <v>0</v>
      </c>
      <c r="BJ47">
        <f t="shared" ref="BJ47:BJ59" si="67">-($C$16*$C$15/$C$13)*S5</f>
        <v>0</v>
      </c>
      <c r="BK47">
        <f t="shared" ref="BK47:BK59" si="68">-($C$16*$C$15/$C$13)*T5</f>
        <v>0</v>
      </c>
      <c r="BL47">
        <f t="shared" ref="BL47:BL59" si="69">-($C$16*$C$15/$C$13)*U5</f>
        <v>0</v>
      </c>
      <c r="BM47">
        <f t="shared" ref="BM47:BM59" si="70">-($C$16*$C$15/$C$13)*V5</f>
        <v>0</v>
      </c>
      <c r="BN47">
        <f t="shared" ref="BN47:BN59" si="71">-($C$16*$C$15/$C$13)*W5</f>
        <v>0</v>
      </c>
      <c r="BO47">
        <f t="shared" ref="BO47:BO59" si="72">-($C$16*$C$15/$C$13)*X5</f>
        <v>0</v>
      </c>
      <c r="BP47">
        <f t="shared" ref="BP47:BP59" si="73">-($C$16*$C$15/$C$13)*Y5</f>
        <v>0</v>
      </c>
      <c r="BQ47">
        <f t="shared" ref="BQ47:BQ59" si="74">-($C$16*$C$15/$C$13)*Z5</f>
        <v>0</v>
      </c>
      <c r="BR47">
        <f t="shared" ref="BR47:BR59" si="75">-($C$16*$C$15/$C$13)*AA5</f>
        <v>0</v>
      </c>
      <c r="BS47">
        <f t="shared" ref="BS47:BS59" si="76">-($C$16*$C$15/$C$13)*AB5</f>
        <v>0</v>
      </c>
      <c r="BT47">
        <f t="shared" ref="BT47:BT59" si="77">-($C$16*$C$15/$C$13)*AC5</f>
        <v>0</v>
      </c>
      <c r="BU47">
        <f t="shared" ref="BU47:BU59" si="78">-($C$16*$C$15/$C$13)*AD5</f>
        <v>0</v>
      </c>
      <c r="BV47" s="50">
        <f t="shared" ref="BV47:BV59" si="79">-($C$16*$C$15/$C$13)*AE5</f>
        <v>0</v>
      </c>
      <c r="BW47" s="16"/>
      <c r="BX47" s="16"/>
      <c r="BY47" s="16"/>
      <c r="BZ47" s="16"/>
      <c r="CA47" s="16"/>
      <c r="CB47" s="16"/>
      <c r="CC47" s="28"/>
      <c r="CD47" s="28"/>
      <c r="CE47" s="28"/>
      <c r="CF47" s="28"/>
      <c r="CG47" s="28"/>
      <c r="CH47" s="28"/>
      <c r="CI47" s="28"/>
      <c r="CJ47" s="28"/>
      <c r="CK47" s="35"/>
      <c r="CM47" s="44"/>
      <c r="CN47" s="50">
        <v>0</v>
      </c>
      <c r="CO47">
        <f t="shared" ref="CO47:DC47" si="80">$C$20/($C$21-$C$22*CN47)</f>
        <v>0.3503512227431978</v>
      </c>
      <c r="CP47">
        <f t="shared" si="80"/>
        <v>0.39937260413433329</v>
      </c>
      <c r="CQ47">
        <f t="shared" si="80"/>
        <v>0.40734757210535305</v>
      </c>
      <c r="CR47">
        <f t="shared" si="80"/>
        <v>0.40867518771622741</v>
      </c>
      <c r="CS47">
        <f t="shared" si="80"/>
        <v>0.40889704034969959</v>
      </c>
      <c r="CT47">
        <f t="shared" si="80"/>
        <v>0.40893413676297885</v>
      </c>
      <c r="CU47">
        <f t="shared" si="80"/>
        <v>0.40894034038374732</v>
      </c>
      <c r="CV47">
        <f t="shared" si="80"/>
        <v>0.40894137783154072</v>
      </c>
      <c r="CW47">
        <f t="shared" si="80"/>
        <v>0.40894155132717347</v>
      </c>
      <c r="CX47">
        <f t="shared" si="80"/>
        <v>0.4089415803414041</v>
      </c>
      <c r="CY47">
        <f t="shared" si="80"/>
        <v>0.40894158519354729</v>
      </c>
      <c r="CZ47">
        <f t="shared" si="80"/>
        <v>0.40894158600498676</v>
      </c>
      <c r="DA47">
        <f t="shared" si="80"/>
        <v>0.40894158614068643</v>
      </c>
      <c r="DB47">
        <f t="shared" si="80"/>
        <v>0.40894158616337994</v>
      </c>
      <c r="DC47">
        <f t="shared" si="80"/>
        <v>0.40894158616717508</v>
      </c>
      <c r="DD47">
        <f t="shared" ref="DD47:DM47" si="81">$C$20/($C$21-$C$22*DC47)</f>
        <v>0.40894158616780968</v>
      </c>
      <c r="DE47">
        <f t="shared" si="81"/>
        <v>0.40894158616791582</v>
      </c>
      <c r="DF47">
        <f t="shared" si="81"/>
        <v>0.40894158616793358</v>
      </c>
      <c r="DG47">
        <f t="shared" si="81"/>
        <v>0.40894158616793652</v>
      </c>
      <c r="DH47">
        <f t="shared" si="81"/>
        <v>0.40894158616793708</v>
      </c>
      <c r="DI47">
        <f t="shared" si="81"/>
        <v>0.40894158616793713</v>
      </c>
      <c r="DJ47">
        <f t="shared" si="81"/>
        <v>0.40894158616793713</v>
      </c>
      <c r="DK47">
        <f t="shared" si="81"/>
        <v>0.40894158616793713</v>
      </c>
      <c r="DL47">
        <f t="shared" si="81"/>
        <v>0.40894158616793713</v>
      </c>
      <c r="DM47" s="52">
        <f t="shared" si="81"/>
        <v>0.40894158616793713</v>
      </c>
      <c r="DN47" s="16"/>
      <c r="DO47" s="16"/>
      <c r="DP47" s="16"/>
      <c r="DQ47" s="16"/>
      <c r="DR47" s="16"/>
      <c r="DS47" s="16"/>
      <c r="DT47" s="28"/>
      <c r="DU47" s="28"/>
      <c r="DV47" s="28"/>
      <c r="DW47" s="28"/>
      <c r="DX47" s="28"/>
      <c r="DY47" s="28"/>
      <c r="DZ47" s="28"/>
      <c r="EA47" s="28"/>
      <c r="EB47" s="35"/>
      <c r="EC47" s="58">
        <f t="shared" si="22"/>
        <v>38</v>
      </c>
      <c r="ED47" s="44"/>
      <c r="EE47" s="50">
        <v>350</v>
      </c>
      <c r="EF47">
        <f t="shared" si="27"/>
        <v>122.62292796011923</v>
      </c>
      <c r="EG47">
        <f t="shared" si="28"/>
        <v>48.972238066009567</v>
      </c>
      <c r="EH47">
        <f t="shared" si="29"/>
        <v>19.948722276754349</v>
      </c>
      <c r="EI47">
        <f t="shared" si="30"/>
        <v>8.1525478211514724</v>
      </c>
      <c r="EJ47">
        <f t="shared" si="31"/>
        <v>3.3335526753782294</v>
      </c>
      <c r="EK47">
        <f t="shared" si="32"/>
        <v>1.3632034856597151</v>
      </c>
      <c r="EL47">
        <f t="shared" si="33"/>
        <v>0.55746889743799466</v>
      </c>
      <c r="EM47">
        <f t="shared" si="34"/>
        <v>0.22797209901652338</v>
      </c>
      <c r="EN47">
        <f t="shared" si="35"/>
        <v>9.3227263831129073E-2</v>
      </c>
      <c r="EO47">
        <f t="shared" si="36"/>
        <v>3.8124504602006948E-2</v>
      </c>
      <c r="EP47">
        <f t="shared" si="37"/>
        <v>1.559069534666341E-2</v>
      </c>
      <c r="EQ47">
        <f t="shared" si="38"/>
        <v>6.3756836819851012E-3</v>
      </c>
      <c r="ER47">
        <f t="shared" si="39"/>
        <v>2.6072821976422787E-3</v>
      </c>
      <c r="ES47">
        <f t="shared" si="40"/>
        <v>1.0662261174793765E-3</v>
      </c>
      <c r="ET47">
        <f t="shared" si="41"/>
        <v>4.3602419969488495E-4</v>
      </c>
      <c r="EU47">
        <f t="shared" si="42"/>
        <v>1.7830842783077603E-4</v>
      </c>
      <c r="EV47">
        <f t="shared" si="43"/>
        <v>7.2917731304224893E-5</v>
      </c>
      <c r="EW47">
        <f t="shared" si="44"/>
        <v>2.9819092699316912E-5</v>
      </c>
      <c r="EX47">
        <f t="shared" si="45"/>
        <v>1.2194267066547393E-5</v>
      </c>
      <c r="EY47">
        <f t="shared" si="46"/>
        <v>4.9867429163493277E-6</v>
      </c>
      <c r="EZ47">
        <f t="shared" si="47"/>
        <v>2.0392865580236185E-6</v>
      </c>
      <c r="FA47">
        <f t="shared" si="48"/>
        <v>8.3394907968913152E-7</v>
      </c>
      <c r="FB47">
        <f t="shared" si="49"/>
        <v>3.4103645943136488E-7</v>
      </c>
      <c r="FC47">
        <f t="shared" si="50"/>
        <v>1.3946399066095971E-7</v>
      </c>
      <c r="FD47" s="52">
        <f t="shared" si="51"/>
        <v>5.7032625554203236E-8</v>
      </c>
      <c r="FE47" s="16"/>
      <c r="FF47" s="16"/>
      <c r="FG47" s="16"/>
      <c r="FH47" s="16"/>
      <c r="FI47" s="16"/>
      <c r="FJ47" s="16"/>
      <c r="FK47" s="28"/>
      <c r="FL47" s="28"/>
      <c r="FM47" s="28"/>
      <c r="FN47" s="28"/>
      <c r="FO47" s="28"/>
      <c r="FP47" s="28"/>
      <c r="FQ47" s="28"/>
      <c r="FR47" s="28"/>
      <c r="FS47" s="35"/>
    </row>
    <row r="48" spans="5:175">
      <c r="E48" s="48"/>
      <c r="F48" s="50">
        <v>350</v>
      </c>
      <c r="G48">
        <f t="shared" si="2"/>
        <v>143.129555158778</v>
      </c>
      <c r="H48">
        <f t="shared" si="3"/>
        <v>58.531627314141929</v>
      </c>
      <c r="I48">
        <f t="shared" si="4"/>
        <v>23.93601651483576</v>
      </c>
      <c r="J48">
        <f t="shared" si="5"/>
        <v>9.788432560118876</v>
      </c>
      <c r="K48">
        <f t="shared" si="6"/>
        <v>4.002897137232897</v>
      </c>
      <c r="L48">
        <f t="shared" si="7"/>
        <v>1.6369511045671215</v>
      </c>
      <c r="M48">
        <f t="shared" si="8"/>
        <v>0.66941738118104965</v>
      </c>
      <c r="N48">
        <f t="shared" si="9"/>
        <v>0.27375260566859994</v>
      </c>
      <c r="O48">
        <f t="shared" si="10"/>
        <v>0.1119488247798084</v>
      </c>
      <c r="P48">
        <f t="shared" si="11"/>
        <v>4.5780529975299945E-2</v>
      </c>
      <c r="Q48">
        <f t="shared" si="12"/>
        <v>1.872156254421813E-2</v>
      </c>
      <c r="R48">
        <f t="shared" si="13"/>
        <v>7.6560254836223534E-3</v>
      </c>
      <c r="S48">
        <f t="shared" si="14"/>
        <v>3.1308672080653582E-3</v>
      </c>
      <c r="T48">
        <f t="shared" si="15"/>
        <v>1.2803418096073824E-3</v>
      </c>
      <c r="U48">
        <f t="shared" si="16"/>
        <v>5.235850287000711E-4</v>
      </c>
      <c r="V48">
        <f t="shared" si="16"/>
        <v>2.1411573673847724E-4</v>
      </c>
      <c r="W48">
        <f t="shared" si="16"/>
        <v>8.7560938087151736E-5</v>
      </c>
      <c r="X48">
        <f t="shared" si="16"/>
        <v>3.5807575649482073E-5</v>
      </c>
      <c r="Y48">
        <f t="shared" si="16"/>
        <v>1.4643859056452057E-5</v>
      </c>
      <c r="Z48">
        <f t="shared" si="16"/>
        <v>5.9900779787622551E-6</v>
      </c>
      <c r="AA48">
        <f t="shared" si="16"/>
        <v>2.4534923723822382E-6</v>
      </c>
      <c r="AB48">
        <f t="shared" si="16"/>
        <v>1.0128728120806008E-6</v>
      </c>
      <c r="AC48">
        <f t="shared" si="16"/>
        <v>4.3752882671607774E-7</v>
      </c>
      <c r="AD48">
        <f t="shared" si="16"/>
        <v>2.359563579456726E-7</v>
      </c>
      <c r="AE48" s="52">
        <f t="shared" si="17"/>
        <v>2.3595635794567258E-7</v>
      </c>
      <c r="AF48" s="16"/>
      <c r="AG48" s="16"/>
      <c r="AH48" s="16"/>
      <c r="AI48" s="16"/>
      <c r="AJ48" s="16"/>
      <c r="AK48" s="16"/>
      <c r="AL48" s="28"/>
      <c r="AM48" s="28"/>
      <c r="AN48" s="28"/>
      <c r="AO48" s="28"/>
      <c r="AP48" s="28"/>
      <c r="AQ48" s="28"/>
      <c r="AR48" s="28"/>
      <c r="AS48" s="28"/>
      <c r="AT48" s="35"/>
      <c r="AU48" s="58">
        <f t="shared" si="18"/>
        <v>37</v>
      </c>
      <c r="AV48" s="46"/>
      <c r="AW48" s="50">
        <f t="shared" si="54"/>
        <v>-1201970000</v>
      </c>
      <c r="AX48">
        <f t="shared" si="55"/>
        <v>0</v>
      </c>
      <c r="AY48">
        <f t="shared" si="56"/>
        <v>0</v>
      </c>
      <c r="AZ48">
        <f t="shared" si="57"/>
        <v>0</v>
      </c>
      <c r="BA48">
        <f t="shared" si="58"/>
        <v>0</v>
      </c>
      <c r="BB48">
        <f t="shared" si="59"/>
        <v>0</v>
      </c>
      <c r="BC48">
        <f t="shared" si="60"/>
        <v>0</v>
      </c>
      <c r="BD48">
        <f t="shared" si="61"/>
        <v>0</v>
      </c>
      <c r="BE48">
        <f t="shared" si="62"/>
        <v>0</v>
      </c>
      <c r="BF48">
        <f t="shared" si="63"/>
        <v>0</v>
      </c>
      <c r="BG48">
        <f t="shared" si="64"/>
        <v>0</v>
      </c>
      <c r="BH48">
        <f t="shared" si="65"/>
        <v>0</v>
      </c>
      <c r="BI48">
        <f t="shared" si="66"/>
        <v>0</v>
      </c>
      <c r="BJ48">
        <f t="shared" si="67"/>
        <v>0</v>
      </c>
      <c r="BK48">
        <f t="shared" si="68"/>
        <v>0</v>
      </c>
      <c r="BL48">
        <f t="shared" si="69"/>
        <v>0</v>
      </c>
      <c r="BM48">
        <f t="shared" si="70"/>
        <v>0</v>
      </c>
      <c r="BN48">
        <f t="shared" si="71"/>
        <v>0</v>
      </c>
      <c r="BO48">
        <f t="shared" si="72"/>
        <v>0</v>
      </c>
      <c r="BP48">
        <f t="shared" si="73"/>
        <v>0</v>
      </c>
      <c r="BQ48">
        <f t="shared" si="74"/>
        <v>0</v>
      </c>
      <c r="BR48">
        <f t="shared" si="75"/>
        <v>0</v>
      </c>
      <c r="BS48">
        <f t="shared" si="76"/>
        <v>0</v>
      </c>
      <c r="BT48">
        <f t="shared" si="77"/>
        <v>0</v>
      </c>
      <c r="BU48">
        <f t="shared" si="78"/>
        <v>0</v>
      </c>
      <c r="BV48" s="50">
        <f t="shared" si="79"/>
        <v>0</v>
      </c>
      <c r="BW48" s="16"/>
      <c r="BX48" s="16"/>
      <c r="BY48" s="16"/>
      <c r="BZ48" s="16"/>
      <c r="CA48" s="16"/>
      <c r="CB48" s="16"/>
      <c r="CC48" s="28"/>
      <c r="CD48" s="28"/>
      <c r="CE48" s="28"/>
      <c r="CF48" s="28"/>
      <c r="CG48" s="28"/>
      <c r="CH48" s="28"/>
      <c r="CI48" s="28"/>
      <c r="CJ48" s="28"/>
      <c r="CK48" s="35"/>
      <c r="CM48" s="44"/>
      <c r="CN48" s="50">
        <v>0</v>
      </c>
      <c r="CO48">
        <f t="shared" ref="CO48:DC48" si="82">$C$20/($C$21-$C$22*CN48)</f>
        <v>0.3503512227431978</v>
      </c>
      <c r="CP48">
        <f t="shared" si="82"/>
        <v>0.39937260413433329</v>
      </c>
      <c r="CQ48">
        <f t="shared" si="82"/>
        <v>0.40734757210535305</v>
      </c>
      <c r="CR48">
        <f t="shared" si="82"/>
        <v>0.40867518771622741</v>
      </c>
      <c r="CS48">
        <f t="shared" si="82"/>
        <v>0.40889704034969959</v>
      </c>
      <c r="CT48">
        <f t="shared" si="82"/>
        <v>0.40893413676297885</v>
      </c>
      <c r="CU48">
        <f t="shared" si="82"/>
        <v>0.40894034038374732</v>
      </c>
      <c r="CV48">
        <f t="shared" si="82"/>
        <v>0.40894137783154072</v>
      </c>
      <c r="CW48">
        <f t="shared" si="82"/>
        <v>0.40894155132717347</v>
      </c>
      <c r="CX48">
        <f t="shared" si="82"/>
        <v>0.4089415803414041</v>
      </c>
      <c r="CY48">
        <f t="shared" si="82"/>
        <v>0.40894158519354729</v>
      </c>
      <c r="CZ48">
        <f t="shared" si="82"/>
        <v>0.40894158600498676</v>
      </c>
      <c r="DA48">
        <f t="shared" si="82"/>
        <v>0.40894158614068643</v>
      </c>
      <c r="DB48">
        <f t="shared" si="82"/>
        <v>0.40894158616337994</v>
      </c>
      <c r="DC48">
        <f t="shared" si="82"/>
        <v>0.40894158616717508</v>
      </c>
      <c r="DD48">
        <f t="shared" ref="DD48:DM48" si="83">$C$20/($C$21-$C$22*DC48)</f>
        <v>0.40894158616780968</v>
      </c>
      <c r="DE48">
        <f t="shared" si="83"/>
        <v>0.40894158616791582</v>
      </c>
      <c r="DF48">
        <f t="shared" si="83"/>
        <v>0.40894158616793358</v>
      </c>
      <c r="DG48">
        <f t="shared" si="83"/>
        <v>0.40894158616793652</v>
      </c>
      <c r="DH48">
        <f t="shared" si="83"/>
        <v>0.40894158616793708</v>
      </c>
      <c r="DI48">
        <f t="shared" si="83"/>
        <v>0.40894158616793713</v>
      </c>
      <c r="DJ48">
        <f t="shared" si="83"/>
        <v>0.40894158616793713</v>
      </c>
      <c r="DK48">
        <f t="shared" si="83"/>
        <v>0.40894158616793713</v>
      </c>
      <c r="DL48">
        <f t="shared" si="83"/>
        <v>0.40894158616793713</v>
      </c>
      <c r="DM48" s="52">
        <f t="shared" si="83"/>
        <v>0.40894158616793713</v>
      </c>
      <c r="DN48" s="16"/>
      <c r="DO48" s="16"/>
      <c r="DP48" s="16"/>
      <c r="DQ48" s="16"/>
      <c r="DR48" s="16"/>
      <c r="DS48" s="16"/>
      <c r="DT48" s="28"/>
      <c r="DU48" s="28"/>
      <c r="DV48" s="28"/>
      <c r="DW48" s="28"/>
      <c r="DX48" s="28"/>
      <c r="DY48" s="28"/>
      <c r="DZ48" s="28"/>
      <c r="EA48" s="28"/>
      <c r="EB48" s="35"/>
      <c r="EC48" s="58">
        <f t="shared" si="22"/>
        <v>37</v>
      </c>
      <c r="ED48" s="44"/>
      <c r="EE48" s="50">
        <v>350</v>
      </c>
      <c r="EF48">
        <f t="shared" si="27"/>
        <v>122.62292796011923</v>
      </c>
      <c r="EG48">
        <f t="shared" si="28"/>
        <v>48.972238066009567</v>
      </c>
      <c r="EH48">
        <f t="shared" si="29"/>
        <v>19.948722276754349</v>
      </c>
      <c r="EI48">
        <f t="shared" si="30"/>
        <v>8.1525478211514724</v>
      </c>
      <c r="EJ48">
        <f t="shared" si="31"/>
        <v>3.3335526753782294</v>
      </c>
      <c r="EK48">
        <f t="shared" si="32"/>
        <v>1.3632034856597151</v>
      </c>
      <c r="EL48">
        <f t="shared" si="33"/>
        <v>0.55746889743799466</v>
      </c>
      <c r="EM48">
        <f t="shared" si="34"/>
        <v>0.22797209901652338</v>
      </c>
      <c r="EN48">
        <f t="shared" si="35"/>
        <v>9.3227263831129073E-2</v>
      </c>
      <c r="EO48">
        <f t="shared" si="36"/>
        <v>3.8124504602006948E-2</v>
      </c>
      <c r="EP48">
        <f t="shared" si="37"/>
        <v>1.559069534666341E-2</v>
      </c>
      <c r="EQ48">
        <f t="shared" si="38"/>
        <v>6.3756836819851012E-3</v>
      </c>
      <c r="ER48">
        <f t="shared" si="39"/>
        <v>2.6072821976422787E-3</v>
      </c>
      <c r="ES48">
        <f t="shared" si="40"/>
        <v>1.0662261174793765E-3</v>
      </c>
      <c r="ET48">
        <f t="shared" si="41"/>
        <v>4.3602419969488495E-4</v>
      </c>
      <c r="EU48">
        <f t="shared" si="42"/>
        <v>1.7830842783077603E-4</v>
      </c>
      <c r="EV48">
        <f t="shared" si="43"/>
        <v>7.2917731304224893E-5</v>
      </c>
      <c r="EW48">
        <f t="shared" si="44"/>
        <v>2.9819092699316912E-5</v>
      </c>
      <c r="EX48">
        <f t="shared" si="45"/>
        <v>1.2194267066547393E-5</v>
      </c>
      <c r="EY48">
        <f t="shared" si="46"/>
        <v>4.9867429163493277E-6</v>
      </c>
      <c r="EZ48">
        <f t="shared" si="47"/>
        <v>2.0392865580236185E-6</v>
      </c>
      <c r="FA48">
        <f t="shared" si="48"/>
        <v>8.3394907968913152E-7</v>
      </c>
      <c r="FB48">
        <f t="shared" si="49"/>
        <v>3.4103645943136488E-7</v>
      </c>
      <c r="FC48">
        <f t="shared" si="50"/>
        <v>1.3946399066095971E-7</v>
      </c>
      <c r="FD48" s="52">
        <f t="shared" si="51"/>
        <v>5.7032625554203236E-8</v>
      </c>
      <c r="FE48" s="16"/>
      <c r="FF48" s="16"/>
      <c r="FG48" s="16"/>
      <c r="FH48" s="16"/>
      <c r="FI48" s="16"/>
      <c r="FJ48" s="16"/>
      <c r="FK48" s="28"/>
      <c r="FL48" s="28"/>
      <c r="FM48" s="28"/>
      <c r="FN48" s="28"/>
      <c r="FO48" s="28"/>
      <c r="FP48" s="28"/>
      <c r="FQ48" s="28"/>
      <c r="FR48" s="28"/>
      <c r="FS48" s="35"/>
    </row>
    <row r="49" spans="5:175">
      <c r="E49" s="48"/>
      <c r="F49" s="50">
        <v>350</v>
      </c>
      <c r="G49">
        <f t="shared" si="2"/>
        <v>143.129555158778</v>
      </c>
      <c r="H49">
        <f t="shared" si="3"/>
        <v>58.531627314141929</v>
      </c>
      <c r="I49">
        <f t="shared" si="4"/>
        <v>23.93601651483576</v>
      </c>
      <c r="J49">
        <f t="shared" si="5"/>
        <v>9.788432560118876</v>
      </c>
      <c r="K49">
        <f t="shared" si="6"/>
        <v>4.002897137232897</v>
      </c>
      <c r="L49">
        <f t="shared" si="7"/>
        <v>1.6369511045671215</v>
      </c>
      <c r="M49">
        <f t="shared" si="8"/>
        <v>0.66941738118104965</v>
      </c>
      <c r="N49">
        <f t="shared" si="9"/>
        <v>0.27375260566859994</v>
      </c>
      <c r="O49">
        <f t="shared" si="10"/>
        <v>0.1119488247798084</v>
      </c>
      <c r="P49">
        <f t="shared" si="11"/>
        <v>4.5780529975299945E-2</v>
      </c>
      <c r="Q49">
        <f t="shared" si="12"/>
        <v>1.872156254421813E-2</v>
      </c>
      <c r="R49">
        <f t="shared" si="13"/>
        <v>7.6560254836223534E-3</v>
      </c>
      <c r="S49">
        <f t="shared" si="14"/>
        <v>3.1308672080653582E-3</v>
      </c>
      <c r="T49">
        <f t="shared" si="15"/>
        <v>1.2803418096073824E-3</v>
      </c>
      <c r="U49">
        <f t="shared" si="16"/>
        <v>5.235850287000711E-4</v>
      </c>
      <c r="V49">
        <f t="shared" si="16"/>
        <v>2.1411573673847724E-4</v>
      </c>
      <c r="W49">
        <f t="shared" si="16"/>
        <v>8.7560938087151736E-5</v>
      </c>
      <c r="X49">
        <f t="shared" si="16"/>
        <v>3.5807575649482073E-5</v>
      </c>
      <c r="Y49">
        <f t="shared" si="16"/>
        <v>1.4643859056452057E-5</v>
      </c>
      <c r="Z49">
        <f t="shared" si="16"/>
        <v>5.9900779787622551E-6</v>
      </c>
      <c r="AA49">
        <f t="shared" si="16"/>
        <v>2.4534923723822382E-6</v>
      </c>
      <c r="AB49">
        <f t="shared" si="16"/>
        <v>1.0128728120806008E-6</v>
      </c>
      <c r="AC49">
        <f t="shared" si="16"/>
        <v>4.3752882671607774E-7</v>
      </c>
      <c r="AD49">
        <f t="shared" si="16"/>
        <v>2.359563579456726E-7</v>
      </c>
      <c r="AE49" s="52">
        <f t="shared" si="17"/>
        <v>2.3595635794567258E-7</v>
      </c>
      <c r="AF49" s="16"/>
      <c r="AG49" s="16"/>
      <c r="AH49" s="16"/>
      <c r="AI49" s="16"/>
      <c r="AJ49" s="16"/>
      <c r="AK49" s="16"/>
      <c r="AL49" s="28"/>
      <c r="AM49" s="28"/>
      <c r="AN49" s="28"/>
      <c r="AO49" s="28"/>
      <c r="AP49" s="28"/>
      <c r="AQ49" s="28"/>
      <c r="AR49" s="28"/>
      <c r="AS49" s="28"/>
      <c r="AT49" s="35"/>
      <c r="AU49" s="58">
        <f t="shared" si="18"/>
        <v>36</v>
      </c>
      <c r="AV49" s="46"/>
      <c r="AW49" s="50">
        <f t="shared" si="54"/>
        <v>-1201970000</v>
      </c>
      <c r="AX49">
        <f t="shared" si="55"/>
        <v>0</v>
      </c>
      <c r="AY49">
        <f t="shared" si="56"/>
        <v>0</v>
      </c>
      <c r="AZ49">
        <f t="shared" si="57"/>
        <v>0</v>
      </c>
      <c r="BA49">
        <f t="shared" si="58"/>
        <v>0</v>
      </c>
      <c r="BB49">
        <f t="shared" si="59"/>
        <v>0</v>
      </c>
      <c r="BC49">
        <f t="shared" si="60"/>
        <v>0</v>
      </c>
      <c r="BD49">
        <f t="shared" si="61"/>
        <v>0</v>
      </c>
      <c r="BE49">
        <f t="shared" si="62"/>
        <v>0</v>
      </c>
      <c r="BF49">
        <f t="shared" si="63"/>
        <v>0</v>
      </c>
      <c r="BG49">
        <f t="shared" si="64"/>
        <v>0</v>
      </c>
      <c r="BH49">
        <f t="shared" si="65"/>
        <v>0</v>
      </c>
      <c r="BI49">
        <f t="shared" si="66"/>
        <v>0</v>
      </c>
      <c r="BJ49">
        <f t="shared" si="67"/>
        <v>0</v>
      </c>
      <c r="BK49">
        <f t="shared" si="68"/>
        <v>0</v>
      </c>
      <c r="BL49">
        <f t="shared" si="69"/>
        <v>0</v>
      </c>
      <c r="BM49">
        <f t="shared" si="70"/>
        <v>0</v>
      </c>
      <c r="BN49">
        <f t="shared" si="71"/>
        <v>0</v>
      </c>
      <c r="BO49">
        <f t="shared" si="72"/>
        <v>0</v>
      </c>
      <c r="BP49">
        <f t="shared" si="73"/>
        <v>0</v>
      </c>
      <c r="BQ49">
        <f t="shared" si="74"/>
        <v>0</v>
      </c>
      <c r="BR49">
        <f t="shared" si="75"/>
        <v>0</v>
      </c>
      <c r="BS49">
        <f t="shared" si="76"/>
        <v>0</v>
      </c>
      <c r="BT49">
        <f t="shared" si="77"/>
        <v>0</v>
      </c>
      <c r="BU49">
        <f t="shared" si="78"/>
        <v>0</v>
      </c>
      <c r="BV49" s="50">
        <f t="shared" si="79"/>
        <v>0</v>
      </c>
      <c r="BW49" s="16"/>
      <c r="BX49" s="16"/>
      <c r="BY49" s="16"/>
      <c r="BZ49" s="16"/>
      <c r="CA49" s="16"/>
      <c r="CB49" s="16"/>
      <c r="CC49" s="28"/>
      <c r="CD49" s="28"/>
      <c r="CE49" s="28"/>
      <c r="CF49" s="28"/>
      <c r="CG49" s="28"/>
      <c r="CH49" s="28"/>
      <c r="CI49" s="28"/>
      <c r="CJ49" s="28"/>
      <c r="CK49" s="35"/>
      <c r="CM49" s="44"/>
      <c r="CN49" s="50">
        <v>0</v>
      </c>
      <c r="CO49">
        <f t="shared" ref="CO49:DC49" si="84">$C$20/($C$21-$C$22*CN49)</f>
        <v>0.3503512227431978</v>
      </c>
      <c r="CP49">
        <f t="shared" si="84"/>
        <v>0.39937260413433329</v>
      </c>
      <c r="CQ49">
        <f t="shared" si="84"/>
        <v>0.40734757210535305</v>
      </c>
      <c r="CR49">
        <f t="shared" si="84"/>
        <v>0.40867518771622741</v>
      </c>
      <c r="CS49">
        <f t="shared" si="84"/>
        <v>0.40889704034969959</v>
      </c>
      <c r="CT49">
        <f t="shared" si="84"/>
        <v>0.40893413676297885</v>
      </c>
      <c r="CU49">
        <f t="shared" si="84"/>
        <v>0.40894034038374732</v>
      </c>
      <c r="CV49">
        <f t="shared" si="84"/>
        <v>0.40894137783154072</v>
      </c>
      <c r="CW49">
        <f t="shared" si="84"/>
        <v>0.40894155132717347</v>
      </c>
      <c r="CX49">
        <f t="shared" si="84"/>
        <v>0.4089415803414041</v>
      </c>
      <c r="CY49">
        <f t="shared" si="84"/>
        <v>0.40894158519354729</v>
      </c>
      <c r="CZ49">
        <f t="shared" si="84"/>
        <v>0.40894158600498676</v>
      </c>
      <c r="DA49">
        <f t="shared" si="84"/>
        <v>0.40894158614068643</v>
      </c>
      <c r="DB49">
        <f t="shared" si="84"/>
        <v>0.40894158616337994</v>
      </c>
      <c r="DC49">
        <f t="shared" si="84"/>
        <v>0.40894158616717508</v>
      </c>
      <c r="DD49">
        <f t="shared" ref="DD49:DM49" si="85">$C$20/($C$21-$C$22*DC49)</f>
        <v>0.40894158616780968</v>
      </c>
      <c r="DE49">
        <f t="shared" si="85"/>
        <v>0.40894158616791582</v>
      </c>
      <c r="DF49">
        <f t="shared" si="85"/>
        <v>0.40894158616793358</v>
      </c>
      <c r="DG49">
        <f t="shared" si="85"/>
        <v>0.40894158616793652</v>
      </c>
      <c r="DH49">
        <f t="shared" si="85"/>
        <v>0.40894158616793708</v>
      </c>
      <c r="DI49">
        <f t="shared" si="85"/>
        <v>0.40894158616793713</v>
      </c>
      <c r="DJ49">
        <f t="shared" si="85"/>
        <v>0.40894158616793713</v>
      </c>
      <c r="DK49">
        <f t="shared" si="85"/>
        <v>0.40894158616793713</v>
      </c>
      <c r="DL49">
        <f t="shared" si="85"/>
        <v>0.40894158616793713</v>
      </c>
      <c r="DM49" s="52">
        <f t="shared" si="85"/>
        <v>0.40894158616793713</v>
      </c>
      <c r="DN49" s="16"/>
      <c r="DO49" s="16"/>
      <c r="DP49" s="16"/>
      <c r="DQ49" s="16"/>
      <c r="DR49" s="16"/>
      <c r="DS49" s="16"/>
      <c r="DT49" s="28"/>
      <c r="DU49" s="28"/>
      <c r="DV49" s="28"/>
      <c r="DW49" s="28"/>
      <c r="DX49" s="28"/>
      <c r="DY49" s="28"/>
      <c r="DZ49" s="28"/>
      <c r="EA49" s="28"/>
      <c r="EB49" s="35"/>
      <c r="EC49" s="58">
        <f t="shared" si="22"/>
        <v>36</v>
      </c>
      <c r="ED49" s="44"/>
      <c r="EE49" s="50">
        <v>350</v>
      </c>
      <c r="EF49">
        <f t="shared" si="27"/>
        <v>122.62292796011923</v>
      </c>
      <c r="EG49">
        <f t="shared" si="28"/>
        <v>48.972238066009567</v>
      </c>
      <c r="EH49">
        <f t="shared" si="29"/>
        <v>19.948722276754349</v>
      </c>
      <c r="EI49">
        <f t="shared" si="30"/>
        <v>8.1525478211514724</v>
      </c>
      <c r="EJ49">
        <f t="shared" si="31"/>
        <v>3.3335526753782294</v>
      </c>
      <c r="EK49">
        <f t="shared" si="32"/>
        <v>1.3632034856597151</v>
      </c>
      <c r="EL49">
        <f t="shared" si="33"/>
        <v>0.55746889743799466</v>
      </c>
      <c r="EM49">
        <f t="shared" si="34"/>
        <v>0.22797209901652338</v>
      </c>
      <c r="EN49">
        <f t="shared" si="35"/>
        <v>9.3227263831129073E-2</v>
      </c>
      <c r="EO49">
        <f t="shared" si="36"/>
        <v>3.8124504602006948E-2</v>
      </c>
      <c r="EP49">
        <f t="shared" si="37"/>
        <v>1.559069534666341E-2</v>
      </c>
      <c r="EQ49">
        <f t="shared" si="38"/>
        <v>6.3756836819851012E-3</v>
      </c>
      <c r="ER49">
        <f t="shared" si="39"/>
        <v>2.6072821976422787E-3</v>
      </c>
      <c r="ES49">
        <f t="shared" si="40"/>
        <v>1.0662261174793765E-3</v>
      </c>
      <c r="ET49">
        <f t="shared" si="41"/>
        <v>4.3602419969488495E-4</v>
      </c>
      <c r="EU49">
        <f t="shared" si="42"/>
        <v>1.7830842783077603E-4</v>
      </c>
      <c r="EV49">
        <f t="shared" si="43"/>
        <v>7.2917731304224893E-5</v>
      </c>
      <c r="EW49">
        <f t="shared" si="44"/>
        <v>2.9819092699316912E-5</v>
      </c>
      <c r="EX49">
        <f t="shared" si="45"/>
        <v>1.2194267066547393E-5</v>
      </c>
      <c r="EY49">
        <f t="shared" si="46"/>
        <v>4.9867429163493277E-6</v>
      </c>
      <c r="EZ49">
        <f t="shared" si="47"/>
        <v>2.0392865580236185E-6</v>
      </c>
      <c r="FA49">
        <f t="shared" si="48"/>
        <v>8.3394907968913152E-7</v>
      </c>
      <c r="FB49">
        <f t="shared" si="49"/>
        <v>3.4103645943136488E-7</v>
      </c>
      <c r="FC49">
        <f t="shared" si="50"/>
        <v>1.3946399066095971E-7</v>
      </c>
      <c r="FD49" s="52">
        <f t="shared" si="51"/>
        <v>5.7032625554203236E-8</v>
      </c>
      <c r="FE49" s="16"/>
      <c r="FF49" s="16"/>
      <c r="FG49" s="16"/>
      <c r="FH49" s="16"/>
      <c r="FI49" s="16"/>
      <c r="FJ49" s="16"/>
      <c r="FK49" s="28"/>
      <c r="FL49" s="28"/>
      <c r="FM49" s="28"/>
      <c r="FN49" s="28"/>
      <c r="FO49" s="28"/>
      <c r="FP49" s="28"/>
      <c r="FQ49" s="28"/>
      <c r="FR49" s="28"/>
      <c r="FS49" s="35"/>
    </row>
    <row r="50" spans="5:175">
      <c r="E50" s="48"/>
      <c r="F50" s="50">
        <v>350</v>
      </c>
      <c r="G50">
        <f t="shared" si="2"/>
        <v>143.129555158778</v>
      </c>
      <c r="H50">
        <f t="shared" si="3"/>
        <v>58.531627314141929</v>
      </c>
      <c r="I50">
        <f t="shared" si="4"/>
        <v>23.93601651483576</v>
      </c>
      <c r="J50">
        <f t="shared" si="5"/>
        <v>9.788432560118876</v>
      </c>
      <c r="K50">
        <f t="shared" si="6"/>
        <v>4.002897137232897</v>
      </c>
      <c r="L50">
        <f t="shared" si="7"/>
        <v>1.6369511045671215</v>
      </c>
      <c r="M50">
        <f t="shared" si="8"/>
        <v>0.66941738118104965</v>
      </c>
      <c r="N50">
        <f t="shared" si="9"/>
        <v>0.27375260566859994</v>
      </c>
      <c r="O50">
        <f t="shared" si="10"/>
        <v>0.1119488247798084</v>
      </c>
      <c r="P50">
        <f t="shared" si="11"/>
        <v>4.5780529975299945E-2</v>
      </c>
      <c r="Q50">
        <f t="shared" si="12"/>
        <v>1.872156254421813E-2</v>
      </c>
      <c r="R50">
        <f t="shared" si="13"/>
        <v>7.6560254836223534E-3</v>
      </c>
      <c r="S50">
        <f t="shared" si="14"/>
        <v>3.1308672080653582E-3</v>
      </c>
      <c r="T50">
        <f t="shared" si="15"/>
        <v>1.2803418096073824E-3</v>
      </c>
      <c r="U50">
        <f t="shared" si="16"/>
        <v>5.235850287000711E-4</v>
      </c>
      <c r="V50">
        <f t="shared" si="16"/>
        <v>2.1411573673847724E-4</v>
      </c>
      <c r="W50">
        <f t="shared" si="16"/>
        <v>8.7560938087151736E-5</v>
      </c>
      <c r="X50">
        <f t="shared" si="16"/>
        <v>3.5807575649482073E-5</v>
      </c>
      <c r="Y50">
        <f t="shared" si="16"/>
        <v>1.4643859056452057E-5</v>
      </c>
      <c r="Z50">
        <f t="shared" si="16"/>
        <v>5.9900779787622551E-6</v>
      </c>
      <c r="AA50">
        <f t="shared" si="16"/>
        <v>2.4534923723822382E-6</v>
      </c>
      <c r="AB50">
        <f t="shared" si="16"/>
        <v>1.0128728120806008E-6</v>
      </c>
      <c r="AC50">
        <f t="shared" si="16"/>
        <v>4.3752882671607774E-7</v>
      </c>
      <c r="AD50">
        <f t="shared" si="16"/>
        <v>2.359563579456726E-7</v>
      </c>
      <c r="AE50" s="52">
        <f t="shared" si="17"/>
        <v>2.3595635794567258E-7</v>
      </c>
      <c r="AF50" s="16"/>
      <c r="AG50" s="16"/>
      <c r="AH50" s="16"/>
      <c r="AI50" s="16"/>
      <c r="AJ50" s="16"/>
      <c r="AK50" s="28"/>
      <c r="AL50" s="28"/>
      <c r="AM50" s="28"/>
      <c r="AN50" s="28"/>
      <c r="AO50" s="28"/>
      <c r="AP50" s="28"/>
      <c r="AQ50" s="28"/>
      <c r="AR50" s="28"/>
      <c r="AS50" s="28"/>
      <c r="AT50" s="35"/>
      <c r="AU50" s="58">
        <f t="shared" si="18"/>
        <v>35</v>
      </c>
      <c r="AV50" s="46"/>
      <c r="AW50" s="50">
        <f t="shared" si="54"/>
        <v>-1201970000</v>
      </c>
      <c r="AX50">
        <f t="shared" si="55"/>
        <v>0</v>
      </c>
      <c r="AY50">
        <f t="shared" si="56"/>
        <v>0</v>
      </c>
      <c r="AZ50">
        <f t="shared" si="57"/>
        <v>0</v>
      </c>
      <c r="BA50">
        <f t="shared" si="58"/>
        <v>0</v>
      </c>
      <c r="BB50">
        <f t="shared" si="59"/>
        <v>0</v>
      </c>
      <c r="BC50">
        <f t="shared" si="60"/>
        <v>0</v>
      </c>
      <c r="BD50">
        <f t="shared" si="61"/>
        <v>0</v>
      </c>
      <c r="BE50">
        <f t="shared" si="62"/>
        <v>0</v>
      </c>
      <c r="BF50">
        <f t="shared" si="63"/>
        <v>0</v>
      </c>
      <c r="BG50">
        <f t="shared" si="64"/>
        <v>0</v>
      </c>
      <c r="BH50">
        <f t="shared" si="65"/>
        <v>0</v>
      </c>
      <c r="BI50">
        <f t="shared" si="66"/>
        <v>0</v>
      </c>
      <c r="BJ50">
        <f t="shared" si="67"/>
        <v>0</v>
      </c>
      <c r="BK50">
        <f t="shared" si="68"/>
        <v>0</v>
      </c>
      <c r="BL50">
        <f t="shared" si="69"/>
        <v>0</v>
      </c>
      <c r="BM50">
        <f t="shared" si="70"/>
        <v>0</v>
      </c>
      <c r="BN50">
        <f t="shared" si="71"/>
        <v>0</v>
      </c>
      <c r="BO50">
        <f t="shared" si="72"/>
        <v>0</v>
      </c>
      <c r="BP50">
        <f t="shared" si="73"/>
        <v>0</v>
      </c>
      <c r="BQ50">
        <f t="shared" si="74"/>
        <v>0</v>
      </c>
      <c r="BR50">
        <f t="shared" si="75"/>
        <v>0</v>
      </c>
      <c r="BS50">
        <f t="shared" si="76"/>
        <v>0</v>
      </c>
      <c r="BT50">
        <f t="shared" si="77"/>
        <v>0</v>
      </c>
      <c r="BU50">
        <f t="shared" si="78"/>
        <v>0</v>
      </c>
      <c r="BV50" s="50">
        <f t="shared" si="79"/>
        <v>0</v>
      </c>
      <c r="BW50" s="16"/>
      <c r="BX50" s="16"/>
      <c r="BY50" s="16"/>
      <c r="BZ50" s="16"/>
      <c r="CA50" s="16"/>
      <c r="CB50" s="28"/>
      <c r="CC50" s="28"/>
      <c r="CD50" s="28"/>
      <c r="CE50" s="28"/>
      <c r="CF50" s="28"/>
      <c r="CG50" s="28"/>
      <c r="CH50" s="28"/>
      <c r="CI50" s="28"/>
      <c r="CJ50" s="28"/>
      <c r="CK50" s="35"/>
      <c r="CM50" s="44"/>
      <c r="CN50" s="50">
        <v>0</v>
      </c>
      <c r="CO50">
        <f t="shared" ref="CO50:DC50" si="86">$C$20/($C$21-$C$22*CN50)</f>
        <v>0.3503512227431978</v>
      </c>
      <c r="CP50">
        <f t="shared" si="86"/>
        <v>0.39937260413433329</v>
      </c>
      <c r="CQ50">
        <f t="shared" si="86"/>
        <v>0.40734757210535305</v>
      </c>
      <c r="CR50">
        <f t="shared" si="86"/>
        <v>0.40867518771622741</v>
      </c>
      <c r="CS50">
        <f t="shared" si="86"/>
        <v>0.40889704034969959</v>
      </c>
      <c r="CT50">
        <f t="shared" si="86"/>
        <v>0.40893413676297885</v>
      </c>
      <c r="CU50">
        <f t="shared" si="86"/>
        <v>0.40894034038374732</v>
      </c>
      <c r="CV50">
        <f t="shared" si="86"/>
        <v>0.40894137783154072</v>
      </c>
      <c r="CW50">
        <f t="shared" si="86"/>
        <v>0.40894155132717347</v>
      </c>
      <c r="CX50">
        <f t="shared" si="86"/>
        <v>0.4089415803414041</v>
      </c>
      <c r="CY50">
        <f t="shared" si="86"/>
        <v>0.40894158519354729</v>
      </c>
      <c r="CZ50">
        <f t="shared" si="86"/>
        <v>0.40894158600498676</v>
      </c>
      <c r="DA50">
        <f t="shared" si="86"/>
        <v>0.40894158614068643</v>
      </c>
      <c r="DB50">
        <f t="shared" si="86"/>
        <v>0.40894158616337994</v>
      </c>
      <c r="DC50">
        <f t="shared" si="86"/>
        <v>0.40894158616717508</v>
      </c>
      <c r="DD50">
        <f t="shared" ref="DD50:DM50" si="87">$C$20/($C$21-$C$22*DC50)</f>
        <v>0.40894158616780968</v>
      </c>
      <c r="DE50">
        <f t="shared" si="87"/>
        <v>0.40894158616791582</v>
      </c>
      <c r="DF50">
        <f t="shared" si="87"/>
        <v>0.40894158616793358</v>
      </c>
      <c r="DG50">
        <f t="shared" si="87"/>
        <v>0.40894158616793652</v>
      </c>
      <c r="DH50">
        <f t="shared" si="87"/>
        <v>0.40894158616793708</v>
      </c>
      <c r="DI50">
        <f t="shared" si="87"/>
        <v>0.40894158616793713</v>
      </c>
      <c r="DJ50">
        <f t="shared" si="87"/>
        <v>0.40894158616793713</v>
      </c>
      <c r="DK50">
        <f t="shared" si="87"/>
        <v>0.40894158616793713</v>
      </c>
      <c r="DL50">
        <f t="shared" si="87"/>
        <v>0.40894158616793713</v>
      </c>
      <c r="DM50" s="52">
        <f t="shared" si="87"/>
        <v>0.40894158616793713</v>
      </c>
      <c r="DN50" s="16"/>
      <c r="DO50" s="16"/>
      <c r="DP50" s="16"/>
      <c r="DQ50" s="16"/>
      <c r="DR50" s="16"/>
      <c r="DS50" s="28"/>
      <c r="DT50" s="28"/>
      <c r="DU50" s="28"/>
      <c r="DV50" s="28"/>
      <c r="DW50" s="28"/>
      <c r="DX50" s="28"/>
      <c r="DY50" s="28"/>
      <c r="DZ50" s="28"/>
      <c r="EA50" s="28"/>
      <c r="EB50" s="35"/>
      <c r="EC50" s="58">
        <f t="shared" si="22"/>
        <v>35</v>
      </c>
      <c r="ED50" s="44"/>
      <c r="EE50" s="50">
        <v>350</v>
      </c>
      <c r="EF50">
        <f t="shared" si="27"/>
        <v>122.62292796011923</v>
      </c>
      <c r="EG50">
        <f t="shared" si="28"/>
        <v>48.972238066009567</v>
      </c>
      <c r="EH50">
        <f t="shared" si="29"/>
        <v>19.948722276754349</v>
      </c>
      <c r="EI50">
        <f t="shared" si="30"/>
        <v>8.1525478211514724</v>
      </c>
      <c r="EJ50">
        <f t="shared" si="31"/>
        <v>3.3335526753782294</v>
      </c>
      <c r="EK50">
        <f t="shared" si="32"/>
        <v>1.3632034856597151</v>
      </c>
      <c r="EL50">
        <f t="shared" si="33"/>
        <v>0.55746889743799466</v>
      </c>
      <c r="EM50">
        <f t="shared" si="34"/>
        <v>0.22797209901652338</v>
      </c>
      <c r="EN50">
        <f t="shared" si="35"/>
        <v>9.3227263831129073E-2</v>
      </c>
      <c r="EO50">
        <f t="shared" si="36"/>
        <v>3.8124504602006948E-2</v>
      </c>
      <c r="EP50">
        <f t="shared" si="37"/>
        <v>1.559069534666341E-2</v>
      </c>
      <c r="EQ50">
        <f t="shared" si="38"/>
        <v>6.3756836819851012E-3</v>
      </c>
      <c r="ER50">
        <f t="shared" si="39"/>
        <v>2.6072821976422787E-3</v>
      </c>
      <c r="ES50">
        <f t="shared" si="40"/>
        <v>1.0662261174793765E-3</v>
      </c>
      <c r="ET50">
        <f t="shared" si="41"/>
        <v>4.3602419969488495E-4</v>
      </c>
      <c r="EU50">
        <f t="shared" si="42"/>
        <v>1.7830842783077603E-4</v>
      </c>
      <c r="EV50">
        <f t="shared" si="43"/>
        <v>7.2917731304224893E-5</v>
      </c>
      <c r="EW50">
        <f t="shared" si="44"/>
        <v>2.9819092699316912E-5</v>
      </c>
      <c r="EX50">
        <f t="shared" si="45"/>
        <v>1.2194267066547393E-5</v>
      </c>
      <c r="EY50">
        <f t="shared" si="46"/>
        <v>4.9867429163493277E-6</v>
      </c>
      <c r="EZ50">
        <f t="shared" si="47"/>
        <v>2.0392865580236185E-6</v>
      </c>
      <c r="FA50">
        <f t="shared" si="48"/>
        <v>8.3394907968913152E-7</v>
      </c>
      <c r="FB50">
        <f t="shared" si="49"/>
        <v>3.4103645943136488E-7</v>
      </c>
      <c r="FC50">
        <f t="shared" si="50"/>
        <v>1.3946399066095971E-7</v>
      </c>
      <c r="FD50" s="52">
        <f t="shared" si="51"/>
        <v>5.7032625554203236E-8</v>
      </c>
      <c r="FE50" s="16"/>
      <c r="FF50" s="16"/>
      <c r="FG50" s="16"/>
      <c r="FH50" s="16"/>
      <c r="FI50" s="16"/>
      <c r="FJ50" s="28"/>
      <c r="FK50" s="28"/>
      <c r="FL50" s="28"/>
      <c r="FM50" s="28"/>
      <c r="FN50" s="28"/>
      <c r="FO50" s="28"/>
      <c r="FP50" s="28"/>
      <c r="FQ50" s="28"/>
      <c r="FR50" s="28"/>
      <c r="FS50" s="35"/>
    </row>
    <row r="51" spans="5:175">
      <c r="E51" s="48"/>
      <c r="F51" s="50">
        <v>350</v>
      </c>
      <c r="G51">
        <f t="shared" si="2"/>
        <v>143.129555158778</v>
      </c>
      <c r="H51">
        <f t="shared" si="3"/>
        <v>58.531627314141929</v>
      </c>
      <c r="I51">
        <f t="shared" si="4"/>
        <v>23.93601651483576</v>
      </c>
      <c r="J51">
        <f t="shared" si="5"/>
        <v>9.788432560118876</v>
      </c>
      <c r="K51">
        <f t="shared" si="6"/>
        <v>4.002897137232897</v>
      </c>
      <c r="L51">
        <f t="shared" si="7"/>
        <v>1.6369511045671215</v>
      </c>
      <c r="M51">
        <f t="shared" si="8"/>
        <v>0.66941738118104965</v>
      </c>
      <c r="N51">
        <f t="shared" si="9"/>
        <v>0.27375260566859994</v>
      </c>
      <c r="O51">
        <f t="shared" si="10"/>
        <v>0.1119488247798084</v>
      </c>
      <c r="P51">
        <f t="shared" si="11"/>
        <v>4.5780529975299945E-2</v>
      </c>
      <c r="Q51">
        <f t="shared" si="12"/>
        <v>1.872156254421813E-2</v>
      </c>
      <c r="R51">
        <f t="shared" si="13"/>
        <v>7.6560254836223534E-3</v>
      </c>
      <c r="S51">
        <f t="shared" si="14"/>
        <v>3.1308672080653582E-3</v>
      </c>
      <c r="T51">
        <f t="shared" si="15"/>
        <v>1.2803418096073824E-3</v>
      </c>
      <c r="U51">
        <f t="shared" si="16"/>
        <v>5.235850287000711E-4</v>
      </c>
      <c r="V51">
        <f t="shared" si="16"/>
        <v>2.1411573673847724E-4</v>
      </c>
      <c r="W51">
        <f t="shared" si="16"/>
        <v>8.7560938087151736E-5</v>
      </c>
      <c r="X51">
        <f t="shared" si="16"/>
        <v>3.5807575649482073E-5</v>
      </c>
      <c r="Y51">
        <f t="shared" si="16"/>
        <v>1.4643859056452057E-5</v>
      </c>
      <c r="Z51">
        <f t="shared" si="16"/>
        <v>5.9900779787622551E-6</v>
      </c>
      <c r="AA51">
        <f t="shared" si="16"/>
        <v>2.4534923723822382E-6</v>
      </c>
      <c r="AB51">
        <f t="shared" si="16"/>
        <v>1.0128728120806008E-6</v>
      </c>
      <c r="AC51">
        <f t="shared" si="16"/>
        <v>4.3752882671607774E-7</v>
      </c>
      <c r="AD51">
        <f t="shared" si="16"/>
        <v>2.359563579456726E-7</v>
      </c>
      <c r="AE51" s="52">
        <f t="shared" si="17"/>
        <v>2.3595635794567258E-7</v>
      </c>
      <c r="AF51" s="16"/>
      <c r="AG51" s="16"/>
      <c r="AH51" s="16"/>
      <c r="AI51" s="16"/>
      <c r="AJ51" s="16"/>
      <c r="AK51" s="28"/>
      <c r="AL51" s="28"/>
      <c r="AM51" s="28"/>
      <c r="AN51" s="28"/>
      <c r="AO51" s="28"/>
      <c r="AP51" s="28"/>
      <c r="AQ51" s="28"/>
      <c r="AR51" s="28"/>
      <c r="AS51" s="28"/>
      <c r="AT51" s="35"/>
      <c r="AU51" s="58">
        <f t="shared" si="18"/>
        <v>34</v>
      </c>
      <c r="AV51" s="46"/>
      <c r="AW51" s="50">
        <f t="shared" si="54"/>
        <v>-1201970000</v>
      </c>
      <c r="AX51">
        <f t="shared" si="55"/>
        <v>0</v>
      </c>
      <c r="AY51">
        <f t="shared" si="56"/>
        <v>0</v>
      </c>
      <c r="AZ51">
        <f t="shared" si="57"/>
        <v>0</v>
      </c>
      <c r="BA51">
        <f t="shared" si="58"/>
        <v>0</v>
      </c>
      <c r="BB51">
        <f t="shared" si="59"/>
        <v>0</v>
      </c>
      <c r="BC51">
        <f t="shared" si="60"/>
        <v>0</v>
      </c>
      <c r="BD51">
        <f t="shared" si="61"/>
        <v>0</v>
      </c>
      <c r="BE51">
        <f t="shared" si="62"/>
        <v>0</v>
      </c>
      <c r="BF51">
        <f t="shared" si="63"/>
        <v>0</v>
      </c>
      <c r="BG51">
        <f t="shared" si="64"/>
        <v>0</v>
      </c>
      <c r="BH51">
        <f t="shared" si="65"/>
        <v>0</v>
      </c>
      <c r="BI51">
        <f t="shared" si="66"/>
        <v>0</v>
      </c>
      <c r="BJ51">
        <f t="shared" si="67"/>
        <v>0</v>
      </c>
      <c r="BK51">
        <f t="shared" si="68"/>
        <v>0</v>
      </c>
      <c r="BL51">
        <f t="shared" si="69"/>
        <v>0</v>
      </c>
      <c r="BM51">
        <f t="shared" si="70"/>
        <v>0</v>
      </c>
      <c r="BN51">
        <f t="shared" si="71"/>
        <v>0</v>
      </c>
      <c r="BO51">
        <f t="shared" si="72"/>
        <v>0</v>
      </c>
      <c r="BP51">
        <f t="shared" si="73"/>
        <v>0</v>
      </c>
      <c r="BQ51">
        <f t="shared" si="74"/>
        <v>0</v>
      </c>
      <c r="BR51">
        <f t="shared" si="75"/>
        <v>0</v>
      </c>
      <c r="BS51">
        <f t="shared" si="76"/>
        <v>0</v>
      </c>
      <c r="BT51">
        <f t="shared" si="77"/>
        <v>0</v>
      </c>
      <c r="BU51">
        <f t="shared" si="78"/>
        <v>0</v>
      </c>
      <c r="BV51" s="50">
        <f t="shared" si="79"/>
        <v>0</v>
      </c>
      <c r="BW51" s="16"/>
      <c r="BX51" s="16"/>
      <c r="BY51" s="16"/>
      <c r="BZ51" s="16"/>
      <c r="CA51" s="16"/>
      <c r="CB51" s="28"/>
      <c r="CC51" s="28"/>
      <c r="CD51" s="28"/>
      <c r="CE51" s="28"/>
      <c r="CF51" s="28"/>
      <c r="CG51" s="28"/>
      <c r="CH51" s="28"/>
      <c r="CI51" s="28"/>
      <c r="CJ51" s="28"/>
      <c r="CK51" s="35"/>
      <c r="CM51" s="44"/>
      <c r="CN51" s="50">
        <v>0</v>
      </c>
      <c r="CO51">
        <f t="shared" ref="CO51:DC51" si="88">$C$20/($C$21-$C$22*CN51)</f>
        <v>0.3503512227431978</v>
      </c>
      <c r="CP51">
        <f t="shared" si="88"/>
        <v>0.39937260413433329</v>
      </c>
      <c r="CQ51">
        <f t="shared" si="88"/>
        <v>0.40734757210535305</v>
      </c>
      <c r="CR51">
        <f t="shared" si="88"/>
        <v>0.40867518771622741</v>
      </c>
      <c r="CS51">
        <f t="shared" si="88"/>
        <v>0.40889704034969959</v>
      </c>
      <c r="CT51">
        <f t="shared" si="88"/>
        <v>0.40893413676297885</v>
      </c>
      <c r="CU51">
        <f t="shared" si="88"/>
        <v>0.40894034038374732</v>
      </c>
      <c r="CV51">
        <f t="shared" si="88"/>
        <v>0.40894137783154072</v>
      </c>
      <c r="CW51">
        <f t="shared" si="88"/>
        <v>0.40894155132717347</v>
      </c>
      <c r="CX51">
        <f t="shared" si="88"/>
        <v>0.4089415803414041</v>
      </c>
      <c r="CY51">
        <f t="shared" si="88"/>
        <v>0.40894158519354729</v>
      </c>
      <c r="CZ51">
        <f t="shared" si="88"/>
        <v>0.40894158600498676</v>
      </c>
      <c r="DA51">
        <f t="shared" si="88"/>
        <v>0.40894158614068643</v>
      </c>
      <c r="DB51">
        <f t="shared" si="88"/>
        <v>0.40894158616337994</v>
      </c>
      <c r="DC51">
        <f t="shared" si="88"/>
        <v>0.40894158616717508</v>
      </c>
      <c r="DD51">
        <f t="shared" ref="DD51:DM51" si="89">$C$20/($C$21-$C$22*DC51)</f>
        <v>0.40894158616780968</v>
      </c>
      <c r="DE51">
        <f t="shared" si="89"/>
        <v>0.40894158616791582</v>
      </c>
      <c r="DF51">
        <f t="shared" si="89"/>
        <v>0.40894158616793358</v>
      </c>
      <c r="DG51">
        <f t="shared" si="89"/>
        <v>0.40894158616793652</v>
      </c>
      <c r="DH51">
        <f t="shared" si="89"/>
        <v>0.40894158616793708</v>
      </c>
      <c r="DI51">
        <f t="shared" si="89"/>
        <v>0.40894158616793713</v>
      </c>
      <c r="DJ51">
        <f t="shared" si="89"/>
        <v>0.40894158616793713</v>
      </c>
      <c r="DK51">
        <f t="shared" si="89"/>
        <v>0.40894158616793713</v>
      </c>
      <c r="DL51">
        <f t="shared" si="89"/>
        <v>0.40894158616793713</v>
      </c>
      <c r="DM51" s="52">
        <f t="shared" si="89"/>
        <v>0.40894158616793713</v>
      </c>
      <c r="DN51" s="16"/>
      <c r="DO51" s="16"/>
      <c r="DP51" s="16"/>
      <c r="DQ51" s="16"/>
      <c r="DR51" s="16"/>
      <c r="DS51" s="28"/>
      <c r="DT51" s="28"/>
      <c r="DU51" s="28"/>
      <c r="DV51" s="28"/>
      <c r="DW51" s="28"/>
      <c r="DX51" s="28"/>
      <c r="DY51" s="28"/>
      <c r="DZ51" s="28"/>
      <c r="EA51" s="28"/>
      <c r="EB51" s="35"/>
      <c r="EC51" s="58">
        <f t="shared" si="22"/>
        <v>34</v>
      </c>
      <c r="ED51" s="44"/>
      <c r="EE51" s="50">
        <v>350</v>
      </c>
      <c r="EF51">
        <f t="shared" si="27"/>
        <v>122.62292796011923</v>
      </c>
      <c r="EG51">
        <f t="shared" si="28"/>
        <v>48.972238066009567</v>
      </c>
      <c r="EH51">
        <f t="shared" si="29"/>
        <v>19.948722276754349</v>
      </c>
      <c r="EI51">
        <f t="shared" si="30"/>
        <v>8.1525478211514724</v>
      </c>
      <c r="EJ51">
        <f t="shared" si="31"/>
        <v>3.3335526753782294</v>
      </c>
      <c r="EK51">
        <f t="shared" si="32"/>
        <v>1.3632034856597151</v>
      </c>
      <c r="EL51">
        <f t="shared" si="33"/>
        <v>0.55746889743799466</v>
      </c>
      <c r="EM51">
        <f t="shared" si="34"/>
        <v>0.22797209901652338</v>
      </c>
      <c r="EN51">
        <f t="shared" si="35"/>
        <v>9.3227263831129073E-2</v>
      </c>
      <c r="EO51">
        <f t="shared" si="36"/>
        <v>3.8124504602006948E-2</v>
      </c>
      <c r="EP51">
        <f t="shared" si="37"/>
        <v>1.559069534666341E-2</v>
      </c>
      <c r="EQ51">
        <f t="shared" si="38"/>
        <v>6.3756836819851012E-3</v>
      </c>
      <c r="ER51">
        <f t="shared" si="39"/>
        <v>2.6072821976422787E-3</v>
      </c>
      <c r="ES51">
        <f t="shared" si="40"/>
        <v>1.0662261174793765E-3</v>
      </c>
      <c r="ET51">
        <f t="shared" si="41"/>
        <v>4.3602419969488495E-4</v>
      </c>
      <c r="EU51">
        <f t="shared" si="42"/>
        <v>1.7830842783077603E-4</v>
      </c>
      <c r="EV51">
        <f t="shared" si="43"/>
        <v>7.2917731304224893E-5</v>
      </c>
      <c r="EW51">
        <f t="shared" si="44"/>
        <v>2.9819092699316912E-5</v>
      </c>
      <c r="EX51">
        <f t="shared" si="45"/>
        <v>1.2194267066547393E-5</v>
      </c>
      <c r="EY51">
        <f t="shared" si="46"/>
        <v>4.9867429163493277E-6</v>
      </c>
      <c r="EZ51">
        <f t="shared" si="47"/>
        <v>2.0392865580236185E-6</v>
      </c>
      <c r="FA51">
        <f t="shared" si="48"/>
        <v>8.3394907968913152E-7</v>
      </c>
      <c r="FB51">
        <f t="shared" si="49"/>
        <v>3.4103645943136488E-7</v>
      </c>
      <c r="FC51">
        <f t="shared" si="50"/>
        <v>1.3946399066095971E-7</v>
      </c>
      <c r="FD51" s="52">
        <f t="shared" si="51"/>
        <v>5.7032625554203236E-8</v>
      </c>
      <c r="FE51" s="16"/>
      <c r="FF51" s="16"/>
      <c r="FG51" s="16"/>
      <c r="FH51" s="16"/>
      <c r="FI51" s="16"/>
      <c r="FJ51" s="28"/>
      <c r="FK51" s="28"/>
      <c r="FL51" s="28"/>
      <c r="FM51" s="28"/>
      <c r="FN51" s="28"/>
      <c r="FO51" s="28"/>
      <c r="FP51" s="28"/>
      <c r="FQ51" s="28"/>
      <c r="FR51" s="28"/>
      <c r="FS51" s="35"/>
    </row>
    <row r="52" spans="5:175">
      <c r="E52" s="48"/>
      <c r="F52" s="50">
        <v>350</v>
      </c>
      <c r="G52">
        <f t="shared" si="2"/>
        <v>143.129555158778</v>
      </c>
      <c r="H52">
        <f t="shared" si="3"/>
        <v>58.531627314141929</v>
      </c>
      <c r="I52">
        <f t="shared" si="4"/>
        <v>23.93601651483576</v>
      </c>
      <c r="J52">
        <f t="shared" si="5"/>
        <v>9.788432560118876</v>
      </c>
      <c r="K52">
        <f t="shared" si="6"/>
        <v>4.002897137232897</v>
      </c>
      <c r="L52">
        <f t="shared" si="7"/>
        <v>1.6369511045671215</v>
      </c>
      <c r="M52">
        <f t="shared" si="8"/>
        <v>0.66941738118104965</v>
      </c>
      <c r="N52">
        <f t="shared" si="9"/>
        <v>0.27375260566859994</v>
      </c>
      <c r="O52">
        <f t="shared" si="10"/>
        <v>0.1119488247798084</v>
      </c>
      <c r="P52">
        <f t="shared" si="11"/>
        <v>4.5780529975299945E-2</v>
      </c>
      <c r="Q52">
        <f t="shared" si="12"/>
        <v>1.872156254421813E-2</v>
      </c>
      <c r="R52">
        <f t="shared" si="13"/>
        <v>7.6560254836223534E-3</v>
      </c>
      <c r="S52">
        <f t="shared" si="14"/>
        <v>3.1308672080653582E-3</v>
      </c>
      <c r="T52">
        <f t="shared" si="15"/>
        <v>1.2803418096073824E-3</v>
      </c>
      <c r="U52">
        <f t="shared" si="16"/>
        <v>5.235850287000711E-4</v>
      </c>
      <c r="V52">
        <f t="shared" si="16"/>
        <v>2.1411573673847724E-4</v>
      </c>
      <c r="W52">
        <f t="shared" si="16"/>
        <v>8.7560938087151736E-5</v>
      </c>
      <c r="X52">
        <f t="shared" si="16"/>
        <v>3.5807575649482073E-5</v>
      </c>
      <c r="Y52">
        <f t="shared" si="16"/>
        <v>1.4643859056452057E-5</v>
      </c>
      <c r="Z52">
        <f t="shared" si="16"/>
        <v>5.9900779787622551E-6</v>
      </c>
      <c r="AA52">
        <f t="shared" si="16"/>
        <v>2.4534923723822382E-6</v>
      </c>
      <c r="AB52">
        <f t="shared" si="16"/>
        <v>1.0128728120806008E-6</v>
      </c>
      <c r="AC52">
        <f t="shared" si="16"/>
        <v>4.3752882671607774E-7</v>
      </c>
      <c r="AD52">
        <f t="shared" si="16"/>
        <v>2.359563579456726E-7</v>
      </c>
      <c r="AE52" s="52">
        <f t="shared" si="17"/>
        <v>2.3595635794567258E-7</v>
      </c>
      <c r="AF52" s="16"/>
      <c r="AG52" s="16"/>
      <c r="AH52" s="16"/>
      <c r="AI52" s="16"/>
      <c r="AJ52" s="16"/>
      <c r="AK52" s="28"/>
      <c r="AL52" s="28"/>
      <c r="AM52" s="28"/>
      <c r="AN52" s="28"/>
      <c r="AO52" s="28"/>
      <c r="AP52" s="28"/>
      <c r="AQ52" s="28"/>
      <c r="AR52" s="28"/>
      <c r="AS52" s="28"/>
      <c r="AT52" s="35"/>
      <c r="AU52" s="58">
        <f t="shared" si="18"/>
        <v>33</v>
      </c>
      <c r="AV52" s="46"/>
      <c r="AW52" s="50">
        <f t="shared" si="54"/>
        <v>-1201970000</v>
      </c>
      <c r="AX52">
        <f t="shared" si="55"/>
        <v>0</v>
      </c>
      <c r="AY52">
        <f t="shared" si="56"/>
        <v>0</v>
      </c>
      <c r="AZ52">
        <f t="shared" si="57"/>
        <v>0</v>
      </c>
      <c r="BA52">
        <f t="shared" si="58"/>
        <v>0</v>
      </c>
      <c r="BB52">
        <f t="shared" si="59"/>
        <v>0</v>
      </c>
      <c r="BC52">
        <f t="shared" si="60"/>
        <v>0</v>
      </c>
      <c r="BD52">
        <f t="shared" si="61"/>
        <v>0</v>
      </c>
      <c r="BE52">
        <f t="shared" si="62"/>
        <v>0</v>
      </c>
      <c r="BF52">
        <f t="shared" si="63"/>
        <v>0</v>
      </c>
      <c r="BG52">
        <f t="shared" si="64"/>
        <v>0</v>
      </c>
      <c r="BH52">
        <f t="shared" si="65"/>
        <v>0</v>
      </c>
      <c r="BI52">
        <f t="shared" si="66"/>
        <v>0</v>
      </c>
      <c r="BJ52">
        <f t="shared" si="67"/>
        <v>0</v>
      </c>
      <c r="BK52">
        <f t="shared" si="68"/>
        <v>0</v>
      </c>
      <c r="BL52">
        <f t="shared" si="69"/>
        <v>0</v>
      </c>
      <c r="BM52">
        <f t="shared" si="70"/>
        <v>0</v>
      </c>
      <c r="BN52">
        <f t="shared" si="71"/>
        <v>0</v>
      </c>
      <c r="BO52">
        <f t="shared" si="72"/>
        <v>0</v>
      </c>
      <c r="BP52">
        <f t="shared" si="73"/>
        <v>0</v>
      </c>
      <c r="BQ52">
        <f t="shared" si="74"/>
        <v>0</v>
      </c>
      <c r="BR52">
        <f t="shared" si="75"/>
        <v>0</v>
      </c>
      <c r="BS52">
        <f t="shared" si="76"/>
        <v>0</v>
      </c>
      <c r="BT52">
        <f t="shared" si="77"/>
        <v>0</v>
      </c>
      <c r="BU52">
        <f t="shared" si="78"/>
        <v>0</v>
      </c>
      <c r="BV52" s="50">
        <f t="shared" si="79"/>
        <v>0</v>
      </c>
      <c r="BW52" s="16"/>
      <c r="BX52" s="16"/>
      <c r="BY52" s="16"/>
      <c r="BZ52" s="16"/>
      <c r="CA52" s="16"/>
      <c r="CB52" s="28"/>
      <c r="CC52" s="28"/>
      <c r="CD52" s="28"/>
      <c r="CE52" s="28"/>
      <c r="CF52" s="28"/>
      <c r="CG52" s="28"/>
      <c r="CH52" s="28"/>
      <c r="CI52" s="28"/>
      <c r="CJ52" s="28"/>
      <c r="CK52" s="35"/>
      <c r="CM52" s="44"/>
      <c r="CN52" s="50">
        <v>0</v>
      </c>
      <c r="CO52">
        <f t="shared" ref="CO52:DC52" si="90">$C$20/($C$21-$C$22*CN52)</f>
        <v>0.3503512227431978</v>
      </c>
      <c r="CP52">
        <f t="shared" si="90"/>
        <v>0.39937260413433329</v>
      </c>
      <c r="CQ52">
        <f t="shared" si="90"/>
        <v>0.40734757210535305</v>
      </c>
      <c r="CR52">
        <f t="shared" si="90"/>
        <v>0.40867518771622741</v>
      </c>
      <c r="CS52">
        <f t="shared" si="90"/>
        <v>0.40889704034969959</v>
      </c>
      <c r="CT52">
        <f t="shared" si="90"/>
        <v>0.40893413676297885</v>
      </c>
      <c r="CU52">
        <f t="shared" si="90"/>
        <v>0.40894034038374732</v>
      </c>
      <c r="CV52">
        <f t="shared" si="90"/>
        <v>0.40894137783154072</v>
      </c>
      <c r="CW52">
        <f t="shared" si="90"/>
        <v>0.40894155132717347</v>
      </c>
      <c r="CX52">
        <f t="shared" si="90"/>
        <v>0.4089415803414041</v>
      </c>
      <c r="CY52">
        <f t="shared" si="90"/>
        <v>0.40894158519354729</v>
      </c>
      <c r="CZ52">
        <f t="shared" si="90"/>
        <v>0.40894158600498676</v>
      </c>
      <c r="DA52">
        <f t="shared" si="90"/>
        <v>0.40894158614068643</v>
      </c>
      <c r="DB52">
        <f t="shared" si="90"/>
        <v>0.40894158616337994</v>
      </c>
      <c r="DC52">
        <f t="shared" si="90"/>
        <v>0.40894158616717508</v>
      </c>
      <c r="DD52">
        <f t="shared" ref="DD52:DM52" si="91">$C$20/($C$21-$C$22*DC52)</f>
        <v>0.40894158616780968</v>
      </c>
      <c r="DE52">
        <f t="shared" si="91"/>
        <v>0.40894158616791582</v>
      </c>
      <c r="DF52">
        <f t="shared" si="91"/>
        <v>0.40894158616793358</v>
      </c>
      <c r="DG52">
        <f t="shared" si="91"/>
        <v>0.40894158616793652</v>
      </c>
      <c r="DH52">
        <f t="shared" si="91"/>
        <v>0.40894158616793708</v>
      </c>
      <c r="DI52">
        <f t="shared" si="91"/>
        <v>0.40894158616793713</v>
      </c>
      <c r="DJ52">
        <f t="shared" si="91"/>
        <v>0.40894158616793713</v>
      </c>
      <c r="DK52">
        <f t="shared" si="91"/>
        <v>0.40894158616793713</v>
      </c>
      <c r="DL52">
        <f t="shared" si="91"/>
        <v>0.40894158616793713</v>
      </c>
      <c r="DM52" s="52">
        <f t="shared" si="91"/>
        <v>0.40894158616793713</v>
      </c>
      <c r="DN52" s="16"/>
      <c r="DO52" s="16"/>
      <c r="DP52" s="16"/>
      <c r="DQ52" s="16"/>
      <c r="DR52" s="16"/>
      <c r="DS52" s="28"/>
      <c r="DT52" s="28"/>
      <c r="DU52" s="28"/>
      <c r="DV52" s="28"/>
      <c r="DW52" s="28"/>
      <c r="DX52" s="28"/>
      <c r="DY52" s="28"/>
      <c r="DZ52" s="28"/>
      <c r="EA52" s="28"/>
      <c r="EB52" s="35"/>
      <c r="EC52" s="58">
        <f t="shared" si="22"/>
        <v>33</v>
      </c>
      <c r="ED52" s="44"/>
      <c r="EE52" s="50">
        <v>350</v>
      </c>
      <c r="EF52">
        <f t="shared" si="27"/>
        <v>122.62292796011923</v>
      </c>
      <c r="EG52">
        <f t="shared" si="28"/>
        <v>48.972238066009567</v>
      </c>
      <c r="EH52">
        <f t="shared" si="29"/>
        <v>19.948722276754349</v>
      </c>
      <c r="EI52">
        <f t="shared" si="30"/>
        <v>8.1525478211514724</v>
      </c>
      <c r="EJ52">
        <f t="shared" si="31"/>
        <v>3.3335526753782294</v>
      </c>
      <c r="EK52">
        <f t="shared" si="32"/>
        <v>1.3632034856597151</v>
      </c>
      <c r="EL52">
        <f t="shared" si="33"/>
        <v>0.55746889743799466</v>
      </c>
      <c r="EM52">
        <f t="shared" si="34"/>
        <v>0.22797209901652338</v>
      </c>
      <c r="EN52">
        <f t="shared" si="35"/>
        <v>9.3227263831129073E-2</v>
      </c>
      <c r="EO52">
        <f t="shared" si="36"/>
        <v>3.8124504602006948E-2</v>
      </c>
      <c r="EP52">
        <f t="shared" si="37"/>
        <v>1.559069534666341E-2</v>
      </c>
      <c r="EQ52">
        <f t="shared" si="38"/>
        <v>6.3756836819851012E-3</v>
      </c>
      <c r="ER52">
        <f t="shared" si="39"/>
        <v>2.6072821976422787E-3</v>
      </c>
      <c r="ES52">
        <f t="shared" si="40"/>
        <v>1.0662261174793765E-3</v>
      </c>
      <c r="ET52">
        <f t="shared" si="41"/>
        <v>4.3602419969488495E-4</v>
      </c>
      <c r="EU52">
        <f t="shared" si="42"/>
        <v>1.7830842783077603E-4</v>
      </c>
      <c r="EV52">
        <f t="shared" si="43"/>
        <v>7.2917731304224893E-5</v>
      </c>
      <c r="EW52">
        <f t="shared" si="44"/>
        <v>2.9819092699316912E-5</v>
      </c>
      <c r="EX52">
        <f t="shared" si="45"/>
        <v>1.2194267066547393E-5</v>
      </c>
      <c r="EY52">
        <f t="shared" si="46"/>
        <v>4.9867429163493277E-6</v>
      </c>
      <c r="EZ52">
        <f t="shared" si="47"/>
        <v>2.0392865580236185E-6</v>
      </c>
      <c r="FA52">
        <f t="shared" si="48"/>
        <v>8.3394907968913152E-7</v>
      </c>
      <c r="FB52">
        <f t="shared" si="49"/>
        <v>3.4103645943136488E-7</v>
      </c>
      <c r="FC52">
        <f t="shared" si="50"/>
        <v>1.3946399066095971E-7</v>
      </c>
      <c r="FD52" s="52">
        <f t="shared" si="51"/>
        <v>5.7032625554203236E-8</v>
      </c>
      <c r="FE52" s="16"/>
      <c r="FF52" s="16"/>
      <c r="FG52" s="16"/>
      <c r="FH52" s="16"/>
      <c r="FI52" s="16"/>
      <c r="FJ52" s="28"/>
      <c r="FK52" s="28"/>
      <c r="FL52" s="28"/>
      <c r="FM52" s="28"/>
      <c r="FN52" s="28"/>
      <c r="FO52" s="28"/>
      <c r="FP52" s="28"/>
      <c r="FQ52" s="28"/>
      <c r="FR52" s="28"/>
      <c r="FS52" s="35"/>
    </row>
    <row r="53" spans="5:175">
      <c r="E53" s="48"/>
      <c r="F53" s="50">
        <v>350</v>
      </c>
      <c r="G53">
        <f t="shared" si="2"/>
        <v>143.129555158778</v>
      </c>
      <c r="H53">
        <f t="shared" si="3"/>
        <v>58.531627314141929</v>
      </c>
      <c r="I53">
        <f t="shared" si="4"/>
        <v>23.93601651483576</v>
      </c>
      <c r="J53">
        <f t="shared" si="5"/>
        <v>9.788432560118876</v>
      </c>
      <c r="K53">
        <f t="shared" si="6"/>
        <v>4.002897137232897</v>
      </c>
      <c r="L53">
        <f t="shared" si="7"/>
        <v>1.6369511045671215</v>
      </c>
      <c r="M53">
        <f t="shared" si="8"/>
        <v>0.66941738118104965</v>
      </c>
      <c r="N53">
        <f t="shared" si="9"/>
        <v>0.27375260566859994</v>
      </c>
      <c r="O53">
        <f t="shared" si="10"/>
        <v>0.1119488247798084</v>
      </c>
      <c r="P53">
        <f t="shared" si="11"/>
        <v>4.5780529975299945E-2</v>
      </c>
      <c r="Q53">
        <f t="shared" si="12"/>
        <v>1.872156254421813E-2</v>
      </c>
      <c r="R53">
        <f t="shared" si="13"/>
        <v>7.6560254836223534E-3</v>
      </c>
      <c r="S53">
        <f t="shared" si="14"/>
        <v>3.1308672080653582E-3</v>
      </c>
      <c r="T53">
        <f t="shared" si="15"/>
        <v>1.2803418096073824E-3</v>
      </c>
      <c r="U53">
        <f t="shared" si="16"/>
        <v>5.235850287000711E-4</v>
      </c>
      <c r="V53">
        <f t="shared" si="16"/>
        <v>2.1411573673847724E-4</v>
      </c>
      <c r="W53">
        <f t="shared" si="16"/>
        <v>8.7560938087151736E-5</v>
      </c>
      <c r="X53">
        <f t="shared" si="16"/>
        <v>3.5807575649482073E-5</v>
      </c>
      <c r="Y53">
        <f t="shared" si="16"/>
        <v>1.4643859056452057E-5</v>
      </c>
      <c r="Z53">
        <f t="shared" si="16"/>
        <v>5.9900779787622551E-6</v>
      </c>
      <c r="AA53">
        <f t="shared" si="16"/>
        <v>2.4534923723822382E-6</v>
      </c>
      <c r="AB53">
        <f t="shared" si="16"/>
        <v>1.0128728120806008E-6</v>
      </c>
      <c r="AC53">
        <f t="shared" si="16"/>
        <v>4.3752882671607774E-7</v>
      </c>
      <c r="AD53">
        <f t="shared" si="16"/>
        <v>2.359563579456726E-7</v>
      </c>
      <c r="AE53" s="52">
        <f t="shared" si="17"/>
        <v>2.3595635794567258E-7</v>
      </c>
      <c r="AF53" s="16"/>
      <c r="AG53" s="16"/>
      <c r="AH53" s="16"/>
      <c r="AI53" s="16"/>
      <c r="AJ53" s="16"/>
      <c r="AK53" s="28"/>
      <c r="AL53" s="28"/>
      <c r="AM53" s="28"/>
      <c r="AN53" s="28"/>
      <c r="AO53" s="28"/>
      <c r="AP53" s="28"/>
      <c r="AQ53" s="28"/>
      <c r="AR53" s="28"/>
      <c r="AS53" s="28"/>
      <c r="AT53" s="35"/>
      <c r="AU53" s="58">
        <f t="shared" si="18"/>
        <v>32</v>
      </c>
      <c r="AV53" s="46"/>
      <c r="AW53" s="50">
        <f t="shared" si="54"/>
        <v>-1201970000</v>
      </c>
      <c r="AX53">
        <f t="shared" si="55"/>
        <v>0</v>
      </c>
      <c r="AY53">
        <f t="shared" si="56"/>
        <v>0</v>
      </c>
      <c r="AZ53">
        <f t="shared" si="57"/>
        <v>0</v>
      </c>
      <c r="BA53">
        <f t="shared" si="58"/>
        <v>0</v>
      </c>
      <c r="BB53">
        <f t="shared" si="59"/>
        <v>0</v>
      </c>
      <c r="BC53">
        <f t="shared" si="60"/>
        <v>0</v>
      </c>
      <c r="BD53">
        <f t="shared" si="61"/>
        <v>0</v>
      </c>
      <c r="BE53">
        <f t="shared" si="62"/>
        <v>0</v>
      </c>
      <c r="BF53">
        <f t="shared" si="63"/>
        <v>0</v>
      </c>
      <c r="BG53">
        <f t="shared" si="64"/>
        <v>0</v>
      </c>
      <c r="BH53">
        <f t="shared" si="65"/>
        <v>0</v>
      </c>
      <c r="BI53">
        <f t="shared" si="66"/>
        <v>0</v>
      </c>
      <c r="BJ53">
        <f t="shared" si="67"/>
        <v>0</v>
      </c>
      <c r="BK53">
        <f t="shared" si="68"/>
        <v>0</v>
      </c>
      <c r="BL53">
        <f t="shared" si="69"/>
        <v>0</v>
      </c>
      <c r="BM53">
        <f t="shared" si="70"/>
        <v>0</v>
      </c>
      <c r="BN53">
        <f t="shared" si="71"/>
        <v>0</v>
      </c>
      <c r="BO53">
        <f t="shared" si="72"/>
        <v>0</v>
      </c>
      <c r="BP53">
        <f t="shared" si="73"/>
        <v>0</v>
      </c>
      <c r="BQ53">
        <f t="shared" si="74"/>
        <v>0</v>
      </c>
      <c r="BR53">
        <f t="shared" si="75"/>
        <v>0</v>
      </c>
      <c r="BS53">
        <f t="shared" si="76"/>
        <v>0</v>
      </c>
      <c r="BT53">
        <f t="shared" si="77"/>
        <v>0</v>
      </c>
      <c r="BU53">
        <f t="shared" si="78"/>
        <v>0</v>
      </c>
      <c r="BV53" s="50">
        <f t="shared" si="79"/>
        <v>0</v>
      </c>
      <c r="BW53" s="16"/>
      <c r="BX53" s="16"/>
      <c r="BY53" s="16"/>
      <c r="BZ53" s="16"/>
      <c r="CA53" s="16"/>
      <c r="CB53" s="28"/>
      <c r="CC53" s="28"/>
      <c r="CD53" s="28"/>
      <c r="CE53" s="28"/>
      <c r="CF53" s="28"/>
      <c r="CG53" s="28"/>
      <c r="CH53" s="28"/>
      <c r="CI53" s="28"/>
      <c r="CJ53" s="28"/>
      <c r="CK53" s="35"/>
      <c r="CM53" s="44"/>
      <c r="CN53" s="50">
        <v>0</v>
      </c>
      <c r="CO53">
        <f t="shared" ref="CO53:DC53" si="92">$C$20/($C$21-$C$22*CN53)</f>
        <v>0.3503512227431978</v>
      </c>
      <c r="CP53">
        <f t="shared" si="92"/>
        <v>0.39937260413433329</v>
      </c>
      <c r="CQ53">
        <f t="shared" si="92"/>
        <v>0.40734757210535305</v>
      </c>
      <c r="CR53">
        <f t="shared" si="92"/>
        <v>0.40867518771622741</v>
      </c>
      <c r="CS53">
        <f t="shared" si="92"/>
        <v>0.40889704034969959</v>
      </c>
      <c r="CT53">
        <f t="shared" si="92"/>
        <v>0.40893413676297885</v>
      </c>
      <c r="CU53">
        <f t="shared" si="92"/>
        <v>0.40894034038374732</v>
      </c>
      <c r="CV53">
        <f t="shared" si="92"/>
        <v>0.40894137783154072</v>
      </c>
      <c r="CW53">
        <f t="shared" si="92"/>
        <v>0.40894155132717347</v>
      </c>
      <c r="CX53">
        <f t="shared" si="92"/>
        <v>0.4089415803414041</v>
      </c>
      <c r="CY53">
        <f t="shared" si="92"/>
        <v>0.40894158519354729</v>
      </c>
      <c r="CZ53">
        <f t="shared" si="92"/>
        <v>0.40894158600498676</v>
      </c>
      <c r="DA53">
        <f t="shared" si="92"/>
        <v>0.40894158614068643</v>
      </c>
      <c r="DB53">
        <f t="shared" si="92"/>
        <v>0.40894158616337994</v>
      </c>
      <c r="DC53">
        <f t="shared" si="92"/>
        <v>0.40894158616717508</v>
      </c>
      <c r="DD53">
        <f t="shared" ref="DD53:DM53" si="93">$C$20/($C$21-$C$22*DC53)</f>
        <v>0.40894158616780968</v>
      </c>
      <c r="DE53">
        <f t="shared" si="93"/>
        <v>0.40894158616791582</v>
      </c>
      <c r="DF53">
        <f t="shared" si="93"/>
        <v>0.40894158616793358</v>
      </c>
      <c r="DG53">
        <f t="shared" si="93"/>
        <v>0.40894158616793652</v>
      </c>
      <c r="DH53">
        <f t="shared" si="93"/>
        <v>0.40894158616793708</v>
      </c>
      <c r="DI53">
        <f t="shared" si="93"/>
        <v>0.40894158616793713</v>
      </c>
      <c r="DJ53">
        <f t="shared" si="93"/>
        <v>0.40894158616793713</v>
      </c>
      <c r="DK53">
        <f t="shared" si="93"/>
        <v>0.40894158616793713</v>
      </c>
      <c r="DL53">
        <f t="shared" si="93"/>
        <v>0.40894158616793713</v>
      </c>
      <c r="DM53" s="52">
        <f t="shared" si="93"/>
        <v>0.40894158616793713</v>
      </c>
      <c r="DN53" s="16"/>
      <c r="DO53" s="16"/>
      <c r="DP53" s="16"/>
      <c r="DQ53" s="16"/>
      <c r="DR53" s="16"/>
      <c r="DS53" s="28"/>
      <c r="DT53" s="28"/>
      <c r="DU53" s="28"/>
      <c r="DV53" s="28"/>
      <c r="DW53" s="28"/>
      <c r="DX53" s="28"/>
      <c r="DY53" s="28"/>
      <c r="DZ53" s="28"/>
      <c r="EA53" s="28"/>
      <c r="EB53" s="35"/>
      <c r="EC53" s="58">
        <f t="shared" si="22"/>
        <v>32</v>
      </c>
      <c r="ED53" s="44"/>
      <c r="EE53" s="50">
        <v>350</v>
      </c>
      <c r="EF53">
        <f t="shared" si="27"/>
        <v>122.62292796011923</v>
      </c>
      <c r="EG53">
        <f t="shared" si="28"/>
        <v>48.972238066009567</v>
      </c>
      <c r="EH53">
        <f t="shared" si="29"/>
        <v>19.948722276754349</v>
      </c>
      <c r="EI53">
        <f t="shared" si="30"/>
        <v>8.1525478211514724</v>
      </c>
      <c r="EJ53">
        <f t="shared" si="31"/>
        <v>3.3335526753782294</v>
      </c>
      <c r="EK53">
        <f t="shared" si="32"/>
        <v>1.3632034856597151</v>
      </c>
      <c r="EL53">
        <f t="shared" si="33"/>
        <v>0.55746889743799466</v>
      </c>
      <c r="EM53">
        <f t="shared" si="34"/>
        <v>0.22797209901652338</v>
      </c>
      <c r="EN53">
        <f t="shared" si="35"/>
        <v>9.3227263831129073E-2</v>
      </c>
      <c r="EO53">
        <f t="shared" si="36"/>
        <v>3.8124504602006948E-2</v>
      </c>
      <c r="EP53">
        <f t="shared" si="37"/>
        <v>1.559069534666341E-2</v>
      </c>
      <c r="EQ53">
        <f t="shared" si="38"/>
        <v>6.3756836819851012E-3</v>
      </c>
      <c r="ER53">
        <f t="shared" si="39"/>
        <v>2.6072821976422787E-3</v>
      </c>
      <c r="ES53">
        <f t="shared" si="40"/>
        <v>1.0662261174793765E-3</v>
      </c>
      <c r="ET53">
        <f t="shared" si="41"/>
        <v>4.3602419969488495E-4</v>
      </c>
      <c r="EU53">
        <f t="shared" si="42"/>
        <v>1.7830842783077603E-4</v>
      </c>
      <c r="EV53">
        <f t="shared" si="43"/>
        <v>7.2917731304224893E-5</v>
      </c>
      <c r="EW53">
        <f t="shared" si="44"/>
        <v>2.9819092699316912E-5</v>
      </c>
      <c r="EX53">
        <f t="shared" si="45"/>
        <v>1.2194267066547393E-5</v>
      </c>
      <c r="EY53">
        <f t="shared" si="46"/>
        <v>4.9867429163493277E-6</v>
      </c>
      <c r="EZ53">
        <f t="shared" si="47"/>
        <v>2.0392865580236185E-6</v>
      </c>
      <c r="FA53">
        <f t="shared" si="48"/>
        <v>8.3394907968913152E-7</v>
      </c>
      <c r="FB53">
        <f t="shared" si="49"/>
        <v>3.4103645943136488E-7</v>
      </c>
      <c r="FC53">
        <f t="shared" si="50"/>
        <v>1.3946399066095971E-7</v>
      </c>
      <c r="FD53" s="52">
        <f t="shared" si="51"/>
        <v>5.7032625554203236E-8</v>
      </c>
      <c r="FE53" s="16"/>
      <c r="FF53" s="16"/>
      <c r="FG53" s="16"/>
      <c r="FH53" s="16"/>
      <c r="FI53" s="16"/>
      <c r="FJ53" s="28"/>
      <c r="FK53" s="28"/>
      <c r="FL53" s="28"/>
      <c r="FM53" s="28"/>
      <c r="FN53" s="28"/>
      <c r="FO53" s="28"/>
      <c r="FP53" s="28"/>
      <c r="FQ53" s="28"/>
      <c r="FR53" s="28"/>
      <c r="FS53" s="35"/>
    </row>
    <row r="54" spans="5:175">
      <c r="E54" s="48"/>
      <c r="F54" s="50">
        <v>350</v>
      </c>
      <c r="G54">
        <f t="shared" si="2"/>
        <v>143.129555158778</v>
      </c>
      <c r="H54">
        <f t="shared" si="3"/>
        <v>58.531627314141929</v>
      </c>
      <c r="I54">
        <f t="shared" si="4"/>
        <v>23.93601651483576</v>
      </c>
      <c r="J54">
        <f t="shared" si="5"/>
        <v>9.788432560118876</v>
      </c>
      <c r="K54">
        <f t="shared" si="6"/>
        <v>4.002897137232897</v>
      </c>
      <c r="L54">
        <f t="shared" si="7"/>
        <v>1.6369511045671215</v>
      </c>
      <c r="M54">
        <f t="shared" si="8"/>
        <v>0.66941738118104965</v>
      </c>
      <c r="N54">
        <f t="shared" si="9"/>
        <v>0.27375260566859994</v>
      </c>
      <c r="O54">
        <f t="shared" si="10"/>
        <v>0.1119488247798084</v>
      </c>
      <c r="P54">
        <f t="shared" si="11"/>
        <v>4.5780529975299945E-2</v>
      </c>
      <c r="Q54">
        <f t="shared" si="12"/>
        <v>1.872156254421813E-2</v>
      </c>
      <c r="R54">
        <f t="shared" si="13"/>
        <v>7.6560254836223534E-3</v>
      </c>
      <c r="S54">
        <f t="shared" si="14"/>
        <v>3.1308672080653582E-3</v>
      </c>
      <c r="T54">
        <f t="shared" si="15"/>
        <v>1.2803418096073824E-3</v>
      </c>
      <c r="U54">
        <f t="shared" si="16"/>
        <v>5.235850287000711E-4</v>
      </c>
      <c r="V54">
        <f t="shared" si="16"/>
        <v>2.1411573673847724E-4</v>
      </c>
      <c r="W54">
        <f t="shared" si="16"/>
        <v>8.7560938087151736E-5</v>
      </c>
      <c r="X54">
        <f t="shared" si="16"/>
        <v>3.5807575649482073E-5</v>
      </c>
      <c r="Y54">
        <f t="shared" si="16"/>
        <v>1.4643859056452057E-5</v>
      </c>
      <c r="Z54">
        <f t="shared" si="16"/>
        <v>5.9900779787622551E-6</v>
      </c>
      <c r="AA54">
        <f t="shared" si="16"/>
        <v>2.4534923723822382E-6</v>
      </c>
      <c r="AB54">
        <f t="shared" si="16"/>
        <v>1.0128728120806008E-6</v>
      </c>
      <c r="AC54">
        <f t="shared" si="16"/>
        <v>4.3752882671607774E-7</v>
      </c>
      <c r="AD54">
        <f t="shared" si="16"/>
        <v>2.359563579456726E-7</v>
      </c>
      <c r="AE54" s="52">
        <f t="shared" si="17"/>
        <v>2.3595635794567258E-7</v>
      </c>
      <c r="AF54" s="16"/>
      <c r="AG54" s="16"/>
      <c r="AH54" s="16"/>
      <c r="AI54" s="16"/>
      <c r="AJ54" s="16"/>
      <c r="AK54" s="28"/>
      <c r="AL54" s="28"/>
      <c r="AM54" s="28"/>
      <c r="AN54" s="28"/>
      <c r="AO54" s="28"/>
      <c r="AP54" s="28"/>
      <c r="AQ54" s="28"/>
      <c r="AR54" s="28"/>
      <c r="AS54" s="28"/>
      <c r="AT54" s="35"/>
      <c r="AU54" s="58">
        <f t="shared" si="18"/>
        <v>31</v>
      </c>
      <c r="AV54" s="46"/>
      <c r="AW54" s="50">
        <f t="shared" si="54"/>
        <v>-1201970000</v>
      </c>
      <c r="AX54">
        <f t="shared" si="55"/>
        <v>0</v>
      </c>
      <c r="AY54">
        <f t="shared" si="56"/>
        <v>0</v>
      </c>
      <c r="AZ54">
        <f t="shared" si="57"/>
        <v>0</v>
      </c>
      <c r="BA54">
        <f t="shared" si="58"/>
        <v>0</v>
      </c>
      <c r="BB54">
        <f t="shared" si="59"/>
        <v>0</v>
      </c>
      <c r="BC54">
        <f t="shared" si="60"/>
        <v>0</v>
      </c>
      <c r="BD54">
        <f t="shared" si="61"/>
        <v>0</v>
      </c>
      <c r="BE54">
        <f t="shared" si="62"/>
        <v>0</v>
      </c>
      <c r="BF54">
        <f t="shared" si="63"/>
        <v>0</v>
      </c>
      <c r="BG54">
        <f t="shared" si="64"/>
        <v>0</v>
      </c>
      <c r="BH54">
        <f t="shared" si="65"/>
        <v>0</v>
      </c>
      <c r="BI54">
        <f t="shared" si="66"/>
        <v>0</v>
      </c>
      <c r="BJ54">
        <f t="shared" si="67"/>
        <v>0</v>
      </c>
      <c r="BK54">
        <f t="shared" si="68"/>
        <v>0</v>
      </c>
      <c r="BL54">
        <f t="shared" si="69"/>
        <v>0</v>
      </c>
      <c r="BM54">
        <f t="shared" si="70"/>
        <v>0</v>
      </c>
      <c r="BN54">
        <f t="shared" si="71"/>
        <v>0</v>
      </c>
      <c r="BO54">
        <f t="shared" si="72"/>
        <v>0</v>
      </c>
      <c r="BP54">
        <f t="shared" si="73"/>
        <v>0</v>
      </c>
      <c r="BQ54">
        <f t="shared" si="74"/>
        <v>0</v>
      </c>
      <c r="BR54">
        <f t="shared" si="75"/>
        <v>0</v>
      </c>
      <c r="BS54">
        <f t="shared" si="76"/>
        <v>0</v>
      </c>
      <c r="BT54">
        <f t="shared" si="77"/>
        <v>0</v>
      </c>
      <c r="BU54">
        <f t="shared" si="78"/>
        <v>0</v>
      </c>
      <c r="BV54" s="50">
        <f t="shared" si="79"/>
        <v>0</v>
      </c>
      <c r="BW54" s="16"/>
      <c r="BX54" s="16"/>
      <c r="BY54" s="16"/>
      <c r="BZ54" s="16"/>
      <c r="CA54" s="16"/>
      <c r="CB54" s="28"/>
      <c r="CC54" s="28"/>
      <c r="CD54" s="28"/>
      <c r="CE54" s="28"/>
      <c r="CF54" s="28"/>
      <c r="CG54" s="28"/>
      <c r="CH54" s="28"/>
      <c r="CI54" s="28"/>
      <c r="CJ54" s="28"/>
      <c r="CK54" s="35"/>
      <c r="CM54" s="44"/>
      <c r="CN54" s="50">
        <v>0</v>
      </c>
      <c r="CO54">
        <f t="shared" ref="CO54:DC54" si="94">$C$20/($C$21-$C$22*CN54)</f>
        <v>0.3503512227431978</v>
      </c>
      <c r="CP54">
        <f t="shared" si="94"/>
        <v>0.39937260413433329</v>
      </c>
      <c r="CQ54">
        <f t="shared" si="94"/>
        <v>0.40734757210535305</v>
      </c>
      <c r="CR54">
        <f t="shared" si="94"/>
        <v>0.40867518771622741</v>
      </c>
      <c r="CS54">
        <f t="shared" si="94"/>
        <v>0.40889704034969959</v>
      </c>
      <c r="CT54">
        <f t="shared" si="94"/>
        <v>0.40893413676297885</v>
      </c>
      <c r="CU54">
        <f t="shared" si="94"/>
        <v>0.40894034038374732</v>
      </c>
      <c r="CV54">
        <f t="shared" si="94"/>
        <v>0.40894137783154072</v>
      </c>
      <c r="CW54">
        <f t="shared" si="94"/>
        <v>0.40894155132717347</v>
      </c>
      <c r="CX54">
        <f t="shared" si="94"/>
        <v>0.4089415803414041</v>
      </c>
      <c r="CY54">
        <f t="shared" si="94"/>
        <v>0.40894158519354729</v>
      </c>
      <c r="CZ54">
        <f t="shared" si="94"/>
        <v>0.40894158600498676</v>
      </c>
      <c r="DA54">
        <f t="shared" si="94"/>
        <v>0.40894158614068643</v>
      </c>
      <c r="DB54">
        <f t="shared" si="94"/>
        <v>0.40894158616337994</v>
      </c>
      <c r="DC54">
        <f t="shared" si="94"/>
        <v>0.40894158616717508</v>
      </c>
      <c r="DD54">
        <f t="shared" ref="DD54:DM54" si="95">$C$20/($C$21-$C$22*DC54)</f>
        <v>0.40894158616780968</v>
      </c>
      <c r="DE54">
        <f t="shared" si="95"/>
        <v>0.40894158616791582</v>
      </c>
      <c r="DF54">
        <f t="shared" si="95"/>
        <v>0.40894158616793358</v>
      </c>
      <c r="DG54">
        <f t="shared" si="95"/>
        <v>0.40894158616793652</v>
      </c>
      <c r="DH54">
        <f t="shared" si="95"/>
        <v>0.40894158616793708</v>
      </c>
      <c r="DI54">
        <f t="shared" si="95"/>
        <v>0.40894158616793713</v>
      </c>
      <c r="DJ54">
        <f t="shared" si="95"/>
        <v>0.40894158616793713</v>
      </c>
      <c r="DK54">
        <f t="shared" si="95"/>
        <v>0.40894158616793713</v>
      </c>
      <c r="DL54">
        <f t="shared" si="95"/>
        <v>0.40894158616793713</v>
      </c>
      <c r="DM54" s="52">
        <f t="shared" si="95"/>
        <v>0.40894158616793713</v>
      </c>
      <c r="DN54" s="16"/>
      <c r="DO54" s="16"/>
      <c r="DP54" s="16"/>
      <c r="DQ54" s="16"/>
      <c r="DR54" s="16"/>
      <c r="DS54" s="28"/>
      <c r="DT54" s="28"/>
      <c r="DU54" s="28"/>
      <c r="DV54" s="28"/>
      <c r="DW54" s="28"/>
      <c r="DX54" s="28"/>
      <c r="DY54" s="28"/>
      <c r="DZ54" s="28"/>
      <c r="EA54" s="28"/>
      <c r="EB54" s="35"/>
      <c r="EC54" s="58">
        <f t="shared" si="22"/>
        <v>31</v>
      </c>
      <c r="ED54" s="44"/>
      <c r="EE54" s="50">
        <v>350</v>
      </c>
      <c r="EF54">
        <f t="shared" si="27"/>
        <v>122.62292796011923</v>
      </c>
      <c r="EG54">
        <f t="shared" si="28"/>
        <v>48.972238066009567</v>
      </c>
      <c r="EH54">
        <f t="shared" si="29"/>
        <v>19.948722276754349</v>
      </c>
      <c r="EI54">
        <f t="shared" si="30"/>
        <v>8.1525478211514724</v>
      </c>
      <c r="EJ54">
        <f t="shared" si="31"/>
        <v>3.3335526753782294</v>
      </c>
      <c r="EK54">
        <f t="shared" si="32"/>
        <v>1.3632034856597151</v>
      </c>
      <c r="EL54">
        <f t="shared" si="33"/>
        <v>0.55746889743799466</v>
      </c>
      <c r="EM54">
        <f t="shared" si="34"/>
        <v>0.22797209901652338</v>
      </c>
      <c r="EN54">
        <f t="shared" si="35"/>
        <v>9.3227263831129073E-2</v>
      </c>
      <c r="EO54">
        <f t="shared" si="36"/>
        <v>3.8124504602006948E-2</v>
      </c>
      <c r="EP54">
        <f t="shared" si="37"/>
        <v>1.559069534666341E-2</v>
      </c>
      <c r="EQ54">
        <f t="shared" si="38"/>
        <v>6.3756836819851012E-3</v>
      </c>
      <c r="ER54">
        <f t="shared" si="39"/>
        <v>2.6072821976422787E-3</v>
      </c>
      <c r="ES54">
        <f t="shared" si="40"/>
        <v>1.0662261174793765E-3</v>
      </c>
      <c r="ET54">
        <f t="shared" si="41"/>
        <v>4.3602419969488495E-4</v>
      </c>
      <c r="EU54">
        <f t="shared" si="42"/>
        <v>1.7830842783077603E-4</v>
      </c>
      <c r="EV54">
        <f t="shared" si="43"/>
        <v>7.2917731304224893E-5</v>
      </c>
      <c r="EW54">
        <f t="shared" si="44"/>
        <v>2.9819092699316912E-5</v>
      </c>
      <c r="EX54">
        <f t="shared" si="45"/>
        <v>1.2194267066547393E-5</v>
      </c>
      <c r="EY54">
        <f t="shared" si="46"/>
        <v>4.9867429163493277E-6</v>
      </c>
      <c r="EZ54">
        <f t="shared" si="47"/>
        <v>2.0392865580236185E-6</v>
      </c>
      <c r="FA54">
        <f t="shared" si="48"/>
        <v>8.3394907968913152E-7</v>
      </c>
      <c r="FB54">
        <f t="shared" si="49"/>
        <v>3.4103645943136488E-7</v>
      </c>
      <c r="FC54">
        <f t="shared" si="50"/>
        <v>1.3946399066095971E-7</v>
      </c>
      <c r="FD54" s="52">
        <f t="shared" si="51"/>
        <v>5.7032625554203236E-8</v>
      </c>
      <c r="FE54" s="16"/>
      <c r="FF54" s="16"/>
      <c r="FG54" s="16"/>
      <c r="FH54" s="16"/>
      <c r="FI54" s="16"/>
      <c r="FJ54" s="28"/>
      <c r="FK54" s="28"/>
      <c r="FL54" s="28"/>
      <c r="FM54" s="28"/>
      <c r="FN54" s="28"/>
      <c r="FO54" s="28"/>
      <c r="FP54" s="28"/>
      <c r="FQ54" s="28"/>
      <c r="FR54" s="28"/>
      <c r="FS54" s="35"/>
    </row>
    <row r="55" spans="5:175">
      <c r="E55" s="48"/>
      <c r="F55" s="50">
        <v>350</v>
      </c>
      <c r="G55">
        <f t="shared" si="2"/>
        <v>143.129555158778</v>
      </c>
      <c r="H55">
        <f t="shared" si="3"/>
        <v>58.531627314141929</v>
      </c>
      <c r="I55">
        <f t="shared" si="4"/>
        <v>23.93601651483576</v>
      </c>
      <c r="J55">
        <f t="shared" si="5"/>
        <v>9.788432560118876</v>
      </c>
      <c r="K55">
        <f t="shared" si="6"/>
        <v>4.002897137232897</v>
      </c>
      <c r="L55">
        <f t="shared" si="7"/>
        <v>1.6369511045671215</v>
      </c>
      <c r="M55">
        <f t="shared" si="8"/>
        <v>0.66941738118104965</v>
      </c>
      <c r="N55">
        <f t="shared" si="9"/>
        <v>0.27375260566859994</v>
      </c>
      <c r="O55">
        <f t="shared" si="10"/>
        <v>0.1119488247798084</v>
      </c>
      <c r="P55">
        <f t="shared" si="11"/>
        <v>4.5780529975299945E-2</v>
      </c>
      <c r="Q55">
        <f t="shared" si="12"/>
        <v>1.872156254421813E-2</v>
      </c>
      <c r="R55">
        <f t="shared" si="13"/>
        <v>7.6560254836223534E-3</v>
      </c>
      <c r="S55">
        <f t="shared" si="14"/>
        <v>3.1308672080653582E-3</v>
      </c>
      <c r="T55">
        <f t="shared" si="15"/>
        <v>1.2803418096073824E-3</v>
      </c>
      <c r="U55">
        <f t="shared" si="16"/>
        <v>5.235850287000711E-4</v>
      </c>
      <c r="V55">
        <f t="shared" si="16"/>
        <v>2.1411573673847724E-4</v>
      </c>
      <c r="W55">
        <f t="shared" si="16"/>
        <v>8.7560938087151736E-5</v>
      </c>
      <c r="X55">
        <f t="shared" si="16"/>
        <v>3.5807575649482073E-5</v>
      </c>
      <c r="Y55">
        <f t="shared" si="16"/>
        <v>1.4643859056452057E-5</v>
      </c>
      <c r="Z55">
        <f t="shared" si="16"/>
        <v>5.9900779787622551E-6</v>
      </c>
      <c r="AA55">
        <f t="shared" si="16"/>
        <v>2.4534923723822382E-6</v>
      </c>
      <c r="AB55">
        <f t="shared" si="16"/>
        <v>1.0128728120806008E-6</v>
      </c>
      <c r="AC55">
        <f t="shared" si="16"/>
        <v>4.3752882671607774E-7</v>
      </c>
      <c r="AD55">
        <f t="shared" si="16"/>
        <v>2.359563579456726E-7</v>
      </c>
      <c r="AE55" s="52">
        <f t="shared" si="17"/>
        <v>2.3595635794567258E-7</v>
      </c>
      <c r="AF55" s="16"/>
      <c r="AG55" s="16"/>
      <c r="AH55" s="16"/>
      <c r="AI55" s="16"/>
      <c r="AJ55" s="16"/>
      <c r="AK55" s="28"/>
      <c r="AL55" s="28"/>
      <c r="AM55" s="28"/>
      <c r="AN55" s="28"/>
      <c r="AO55" s="28"/>
      <c r="AP55" s="28"/>
      <c r="AQ55" s="28"/>
      <c r="AR55" s="28"/>
      <c r="AS55" s="28"/>
      <c r="AT55" s="35"/>
      <c r="AU55" s="58">
        <f t="shared" si="18"/>
        <v>30</v>
      </c>
      <c r="AV55" s="46"/>
      <c r="AW55" s="50">
        <f t="shared" si="54"/>
        <v>-1201970000</v>
      </c>
      <c r="AX55">
        <f t="shared" si="55"/>
        <v>0</v>
      </c>
      <c r="AY55">
        <f t="shared" si="56"/>
        <v>0</v>
      </c>
      <c r="AZ55">
        <f t="shared" si="57"/>
        <v>0</v>
      </c>
      <c r="BA55">
        <f t="shared" si="58"/>
        <v>0</v>
      </c>
      <c r="BB55">
        <f t="shared" si="59"/>
        <v>0</v>
      </c>
      <c r="BC55">
        <f t="shared" si="60"/>
        <v>0</v>
      </c>
      <c r="BD55">
        <f t="shared" si="61"/>
        <v>0</v>
      </c>
      <c r="BE55">
        <f t="shared" si="62"/>
        <v>0</v>
      </c>
      <c r="BF55">
        <f t="shared" si="63"/>
        <v>0</v>
      </c>
      <c r="BG55">
        <f t="shared" si="64"/>
        <v>0</v>
      </c>
      <c r="BH55">
        <f t="shared" si="65"/>
        <v>0</v>
      </c>
      <c r="BI55">
        <f t="shared" si="66"/>
        <v>0</v>
      </c>
      <c r="BJ55">
        <f t="shared" si="67"/>
        <v>0</v>
      </c>
      <c r="BK55">
        <f t="shared" si="68"/>
        <v>0</v>
      </c>
      <c r="BL55">
        <f t="shared" si="69"/>
        <v>0</v>
      </c>
      <c r="BM55">
        <f t="shared" si="70"/>
        <v>0</v>
      </c>
      <c r="BN55">
        <f t="shared" si="71"/>
        <v>0</v>
      </c>
      <c r="BO55">
        <f t="shared" si="72"/>
        <v>0</v>
      </c>
      <c r="BP55">
        <f t="shared" si="73"/>
        <v>0</v>
      </c>
      <c r="BQ55">
        <f t="shared" si="74"/>
        <v>0</v>
      </c>
      <c r="BR55">
        <f t="shared" si="75"/>
        <v>0</v>
      </c>
      <c r="BS55">
        <f t="shared" si="76"/>
        <v>0</v>
      </c>
      <c r="BT55">
        <f t="shared" si="77"/>
        <v>0</v>
      </c>
      <c r="BU55">
        <f t="shared" si="78"/>
        <v>0</v>
      </c>
      <c r="BV55" s="50">
        <f t="shared" si="79"/>
        <v>0</v>
      </c>
      <c r="BW55" s="16"/>
      <c r="BX55" s="16"/>
      <c r="BY55" s="16"/>
      <c r="BZ55" s="16"/>
      <c r="CA55" s="16"/>
      <c r="CB55" s="28"/>
      <c r="CC55" s="28"/>
      <c r="CD55" s="28"/>
      <c r="CE55" s="28"/>
      <c r="CF55" s="28"/>
      <c r="CG55" s="28"/>
      <c r="CH55" s="28"/>
      <c r="CI55" s="28"/>
      <c r="CJ55" s="28"/>
      <c r="CK55" s="35"/>
      <c r="CM55" s="44"/>
      <c r="CN55" s="50">
        <v>0</v>
      </c>
      <c r="CO55">
        <f t="shared" ref="CO55:DC55" si="96">$C$20/($C$21-$C$22*CN55)</f>
        <v>0.3503512227431978</v>
      </c>
      <c r="CP55">
        <f t="shared" si="96"/>
        <v>0.39937260413433329</v>
      </c>
      <c r="CQ55">
        <f t="shared" si="96"/>
        <v>0.40734757210535305</v>
      </c>
      <c r="CR55">
        <f t="shared" si="96"/>
        <v>0.40867518771622741</v>
      </c>
      <c r="CS55">
        <f t="shared" si="96"/>
        <v>0.40889704034969959</v>
      </c>
      <c r="CT55">
        <f t="shared" si="96"/>
        <v>0.40893413676297885</v>
      </c>
      <c r="CU55">
        <f t="shared" si="96"/>
        <v>0.40894034038374732</v>
      </c>
      <c r="CV55">
        <f t="shared" si="96"/>
        <v>0.40894137783154072</v>
      </c>
      <c r="CW55">
        <f t="shared" si="96"/>
        <v>0.40894155132717347</v>
      </c>
      <c r="CX55">
        <f t="shared" si="96"/>
        <v>0.4089415803414041</v>
      </c>
      <c r="CY55">
        <f t="shared" si="96"/>
        <v>0.40894158519354729</v>
      </c>
      <c r="CZ55">
        <f t="shared" si="96"/>
        <v>0.40894158600498676</v>
      </c>
      <c r="DA55">
        <f t="shared" si="96"/>
        <v>0.40894158614068643</v>
      </c>
      <c r="DB55">
        <f t="shared" si="96"/>
        <v>0.40894158616337994</v>
      </c>
      <c r="DC55">
        <f t="shared" si="96"/>
        <v>0.40894158616717508</v>
      </c>
      <c r="DD55">
        <f t="shared" ref="DD55:DM55" si="97">$C$20/($C$21-$C$22*DC55)</f>
        <v>0.40894158616780968</v>
      </c>
      <c r="DE55">
        <f t="shared" si="97"/>
        <v>0.40894158616791582</v>
      </c>
      <c r="DF55">
        <f t="shared" si="97"/>
        <v>0.40894158616793358</v>
      </c>
      <c r="DG55">
        <f t="shared" si="97"/>
        <v>0.40894158616793652</v>
      </c>
      <c r="DH55">
        <f t="shared" si="97"/>
        <v>0.40894158616793708</v>
      </c>
      <c r="DI55">
        <f t="shared" si="97"/>
        <v>0.40894158616793713</v>
      </c>
      <c r="DJ55">
        <f t="shared" si="97"/>
        <v>0.40894158616793713</v>
      </c>
      <c r="DK55">
        <f t="shared" si="97"/>
        <v>0.40894158616793713</v>
      </c>
      <c r="DL55">
        <f t="shared" si="97"/>
        <v>0.40894158616793713</v>
      </c>
      <c r="DM55" s="52">
        <f t="shared" si="97"/>
        <v>0.40894158616793713</v>
      </c>
      <c r="DN55" s="16"/>
      <c r="DO55" s="16"/>
      <c r="DP55" s="16"/>
      <c r="DQ55" s="16"/>
      <c r="DR55" s="16"/>
      <c r="DS55" s="28"/>
      <c r="DT55" s="28"/>
      <c r="DU55" s="28"/>
      <c r="DV55" s="28"/>
      <c r="DW55" s="28"/>
      <c r="DX55" s="28"/>
      <c r="DY55" s="28"/>
      <c r="DZ55" s="28"/>
      <c r="EA55" s="28"/>
      <c r="EB55" s="35"/>
      <c r="EC55" s="58">
        <f t="shared" si="22"/>
        <v>30</v>
      </c>
      <c r="ED55" s="44"/>
      <c r="EE55" s="50">
        <v>350</v>
      </c>
      <c r="EF55">
        <f t="shared" si="27"/>
        <v>122.62292796011923</v>
      </c>
      <c r="EG55">
        <f t="shared" si="28"/>
        <v>48.972238066009567</v>
      </c>
      <c r="EH55">
        <f t="shared" si="29"/>
        <v>19.948722276754349</v>
      </c>
      <c r="EI55">
        <f t="shared" si="30"/>
        <v>8.1525478211514724</v>
      </c>
      <c r="EJ55">
        <f t="shared" si="31"/>
        <v>3.3335526753782294</v>
      </c>
      <c r="EK55">
        <f t="shared" si="32"/>
        <v>1.3632034856597151</v>
      </c>
      <c r="EL55">
        <f t="shared" si="33"/>
        <v>0.55746889743799466</v>
      </c>
      <c r="EM55">
        <f t="shared" si="34"/>
        <v>0.22797209901652338</v>
      </c>
      <c r="EN55">
        <f t="shared" si="35"/>
        <v>9.3227263831129073E-2</v>
      </c>
      <c r="EO55">
        <f t="shared" si="36"/>
        <v>3.8124504602006948E-2</v>
      </c>
      <c r="EP55">
        <f t="shared" si="37"/>
        <v>1.559069534666341E-2</v>
      </c>
      <c r="EQ55">
        <f t="shared" si="38"/>
        <v>6.3756836819851012E-3</v>
      </c>
      <c r="ER55">
        <f t="shared" si="39"/>
        <v>2.6072821976422787E-3</v>
      </c>
      <c r="ES55">
        <f t="shared" si="40"/>
        <v>1.0662261174793765E-3</v>
      </c>
      <c r="ET55">
        <f t="shared" si="41"/>
        <v>4.3602419969488495E-4</v>
      </c>
      <c r="EU55">
        <f t="shared" si="42"/>
        <v>1.7830842783077603E-4</v>
      </c>
      <c r="EV55">
        <f t="shared" si="43"/>
        <v>7.2917731304224893E-5</v>
      </c>
      <c r="EW55">
        <f t="shared" si="44"/>
        <v>2.9819092699316912E-5</v>
      </c>
      <c r="EX55">
        <f t="shared" si="45"/>
        <v>1.2194267066547393E-5</v>
      </c>
      <c r="EY55">
        <f t="shared" si="46"/>
        <v>4.9867429163493277E-6</v>
      </c>
      <c r="EZ55">
        <f t="shared" si="47"/>
        <v>2.0392865580236185E-6</v>
      </c>
      <c r="FA55">
        <f t="shared" si="48"/>
        <v>8.3394907968913152E-7</v>
      </c>
      <c r="FB55">
        <f t="shared" si="49"/>
        <v>3.4103645943136488E-7</v>
      </c>
      <c r="FC55">
        <f t="shared" si="50"/>
        <v>1.3946399066095971E-7</v>
      </c>
      <c r="FD55" s="52">
        <f t="shared" si="51"/>
        <v>5.7032625554203236E-8</v>
      </c>
      <c r="FE55" s="16"/>
      <c r="FF55" s="16"/>
      <c r="FG55" s="16"/>
      <c r="FH55" s="16"/>
      <c r="FI55" s="16"/>
      <c r="FJ55" s="28"/>
      <c r="FK55" s="28"/>
      <c r="FL55" s="28"/>
      <c r="FM55" s="28"/>
      <c r="FN55" s="28"/>
      <c r="FO55" s="28"/>
      <c r="FP55" s="28"/>
      <c r="FQ55" s="28"/>
      <c r="FR55" s="28"/>
      <c r="FS55" s="35"/>
    </row>
    <row r="56" spans="5:175">
      <c r="E56" s="48"/>
      <c r="F56" s="50">
        <v>350</v>
      </c>
      <c r="G56">
        <f t="shared" si="2"/>
        <v>143.129555158778</v>
      </c>
      <c r="H56">
        <f t="shared" si="3"/>
        <v>58.531627314141929</v>
      </c>
      <c r="I56">
        <f t="shared" si="4"/>
        <v>23.93601651483576</v>
      </c>
      <c r="J56">
        <f t="shared" si="5"/>
        <v>9.788432560118876</v>
      </c>
      <c r="K56">
        <f t="shared" si="6"/>
        <v>4.002897137232897</v>
      </c>
      <c r="L56">
        <f t="shared" si="7"/>
        <v>1.6369511045671215</v>
      </c>
      <c r="M56">
        <f t="shared" si="8"/>
        <v>0.66941738118104965</v>
      </c>
      <c r="N56">
        <f t="shared" si="9"/>
        <v>0.27375260566859994</v>
      </c>
      <c r="O56">
        <f t="shared" si="10"/>
        <v>0.1119488247798084</v>
      </c>
      <c r="P56">
        <f t="shared" si="11"/>
        <v>4.5780529975299945E-2</v>
      </c>
      <c r="Q56">
        <f t="shared" si="12"/>
        <v>1.872156254421813E-2</v>
      </c>
      <c r="R56">
        <f t="shared" si="13"/>
        <v>7.6560254836223534E-3</v>
      </c>
      <c r="S56">
        <f t="shared" si="14"/>
        <v>3.1308672080653582E-3</v>
      </c>
      <c r="T56">
        <f t="shared" si="15"/>
        <v>1.2803418096073824E-3</v>
      </c>
      <c r="U56">
        <f t="shared" si="16"/>
        <v>5.235850287000711E-4</v>
      </c>
      <c r="V56">
        <f t="shared" si="16"/>
        <v>2.1411573673847724E-4</v>
      </c>
      <c r="W56">
        <f t="shared" si="16"/>
        <v>8.7560938087151736E-5</v>
      </c>
      <c r="X56">
        <f t="shared" si="16"/>
        <v>3.5807575649482073E-5</v>
      </c>
      <c r="Y56">
        <f t="shared" si="16"/>
        <v>1.4643859056452057E-5</v>
      </c>
      <c r="Z56">
        <f t="shared" si="16"/>
        <v>5.9900779787622551E-6</v>
      </c>
      <c r="AA56">
        <f t="shared" si="16"/>
        <v>2.4534923723822382E-6</v>
      </c>
      <c r="AB56">
        <f t="shared" si="16"/>
        <v>1.0128728120806008E-6</v>
      </c>
      <c r="AC56">
        <f t="shared" si="16"/>
        <v>4.3752882671607774E-7</v>
      </c>
      <c r="AD56">
        <f t="shared" si="16"/>
        <v>2.359563579456726E-7</v>
      </c>
      <c r="AE56" s="52">
        <f t="shared" si="17"/>
        <v>2.3595635794567258E-7</v>
      </c>
      <c r="AF56" s="16"/>
      <c r="AG56" s="16"/>
      <c r="AH56" s="16"/>
      <c r="AI56" s="16"/>
      <c r="AJ56" s="16"/>
      <c r="AK56" s="28"/>
      <c r="AL56" s="28"/>
      <c r="AM56" s="28"/>
      <c r="AN56" s="28"/>
      <c r="AO56" s="28"/>
      <c r="AP56" s="28"/>
      <c r="AQ56" s="28"/>
      <c r="AR56" s="28"/>
      <c r="AS56" s="28"/>
      <c r="AT56" s="35"/>
      <c r="AU56" s="58">
        <f t="shared" si="18"/>
        <v>29</v>
      </c>
      <c r="AV56" s="46"/>
      <c r="AW56" s="50">
        <f t="shared" si="54"/>
        <v>-1201970000</v>
      </c>
      <c r="AX56">
        <f t="shared" si="55"/>
        <v>0</v>
      </c>
      <c r="AY56">
        <f t="shared" si="56"/>
        <v>0</v>
      </c>
      <c r="AZ56">
        <f t="shared" si="57"/>
        <v>0</v>
      </c>
      <c r="BA56">
        <f t="shared" si="58"/>
        <v>0</v>
      </c>
      <c r="BB56">
        <f t="shared" si="59"/>
        <v>0</v>
      </c>
      <c r="BC56">
        <f t="shared" si="60"/>
        <v>0</v>
      </c>
      <c r="BD56">
        <f t="shared" si="61"/>
        <v>0</v>
      </c>
      <c r="BE56">
        <f t="shared" si="62"/>
        <v>0</v>
      </c>
      <c r="BF56">
        <f t="shared" si="63"/>
        <v>0</v>
      </c>
      <c r="BG56">
        <f t="shared" si="64"/>
        <v>0</v>
      </c>
      <c r="BH56">
        <f t="shared" si="65"/>
        <v>0</v>
      </c>
      <c r="BI56">
        <f t="shared" si="66"/>
        <v>0</v>
      </c>
      <c r="BJ56">
        <f t="shared" si="67"/>
        <v>0</v>
      </c>
      <c r="BK56">
        <f t="shared" si="68"/>
        <v>0</v>
      </c>
      <c r="BL56">
        <f t="shared" si="69"/>
        <v>0</v>
      </c>
      <c r="BM56">
        <f t="shared" si="70"/>
        <v>0</v>
      </c>
      <c r="BN56">
        <f t="shared" si="71"/>
        <v>0</v>
      </c>
      <c r="BO56">
        <f t="shared" si="72"/>
        <v>0</v>
      </c>
      <c r="BP56">
        <f t="shared" si="73"/>
        <v>0</v>
      </c>
      <c r="BQ56">
        <f t="shared" si="74"/>
        <v>0</v>
      </c>
      <c r="BR56">
        <f t="shared" si="75"/>
        <v>0</v>
      </c>
      <c r="BS56">
        <f t="shared" si="76"/>
        <v>0</v>
      </c>
      <c r="BT56">
        <f t="shared" si="77"/>
        <v>0</v>
      </c>
      <c r="BU56">
        <f t="shared" si="78"/>
        <v>0</v>
      </c>
      <c r="BV56" s="50">
        <f t="shared" si="79"/>
        <v>0</v>
      </c>
      <c r="BW56" s="16"/>
      <c r="BX56" s="16"/>
      <c r="BY56" s="16"/>
      <c r="BZ56" s="16"/>
      <c r="CA56" s="16"/>
      <c r="CB56" s="28"/>
      <c r="CC56" s="28"/>
      <c r="CD56" s="28"/>
      <c r="CE56" s="28"/>
      <c r="CF56" s="28"/>
      <c r="CG56" s="28"/>
      <c r="CH56" s="28"/>
      <c r="CI56" s="28"/>
      <c r="CJ56" s="28"/>
      <c r="CK56" s="35"/>
      <c r="CM56" s="44"/>
      <c r="CN56" s="50">
        <v>0</v>
      </c>
      <c r="CO56">
        <f t="shared" ref="CO56:DC56" si="98">$C$20/($C$21-$C$22*CN56)</f>
        <v>0.3503512227431978</v>
      </c>
      <c r="CP56">
        <f t="shared" si="98"/>
        <v>0.39937260413433329</v>
      </c>
      <c r="CQ56">
        <f t="shared" si="98"/>
        <v>0.40734757210535305</v>
      </c>
      <c r="CR56">
        <f t="shared" si="98"/>
        <v>0.40867518771622741</v>
      </c>
      <c r="CS56">
        <f t="shared" si="98"/>
        <v>0.40889704034969959</v>
      </c>
      <c r="CT56">
        <f t="shared" si="98"/>
        <v>0.40893413676297885</v>
      </c>
      <c r="CU56">
        <f t="shared" si="98"/>
        <v>0.40894034038374732</v>
      </c>
      <c r="CV56">
        <f t="shared" si="98"/>
        <v>0.40894137783154072</v>
      </c>
      <c r="CW56">
        <f t="shared" si="98"/>
        <v>0.40894155132717347</v>
      </c>
      <c r="CX56">
        <f t="shared" si="98"/>
        <v>0.4089415803414041</v>
      </c>
      <c r="CY56">
        <f t="shared" si="98"/>
        <v>0.40894158519354729</v>
      </c>
      <c r="CZ56">
        <f t="shared" si="98"/>
        <v>0.40894158600498676</v>
      </c>
      <c r="DA56">
        <f t="shared" si="98"/>
        <v>0.40894158614068643</v>
      </c>
      <c r="DB56">
        <f t="shared" si="98"/>
        <v>0.40894158616337994</v>
      </c>
      <c r="DC56">
        <f t="shared" si="98"/>
        <v>0.40894158616717508</v>
      </c>
      <c r="DD56">
        <f t="shared" ref="DD56:DM56" si="99">$C$20/($C$21-$C$22*DC56)</f>
        <v>0.40894158616780968</v>
      </c>
      <c r="DE56">
        <f t="shared" si="99"/>
        <v>0.40894158616791582</v>
      </c>
      <c r="DF56">
        <f t="shared" si="99"/>
        <v>0.40894158616793358</v>
      </c>
      <c r="DG56">
        <f t="shared" si="99"/>
        <v>0.40894158616793652</v>
      </c>
      <c r="DH56">
        <f t="shared" si="99"/>
        <v>0.40894158616793708</v>
      </c>
      <c r="DI56">
        <f t="shared" si="99"/>
        <v>0.40894158616793713</v>
      </c>
      <c r="DJ56">
        <f t="shared" si="99"/>
        <v>0.40894158616793713</v>
      </c>
      <c r="DK56">
        <f t="shared" si="99"/>
        <v>0.40894158616793713</v>
      </c>
      <c r="DL56">
        <f t="shared" si="99"/>
        <v>0.40894158616793713</v>
      </c>
      <c r="DM56" s="52">
        <f t="shared" si="99"/>
        <v>0.40894158616793713</v>
      </c>
      <c r="DN56" s="16"/>
      <c r="DO56" s="16"/>
      <c r="DP56" s="16"/>
      <c r="DQ56" s="16"/>
      <c r="DR56" s="16"/>
      <c r="DS56" s="28"/>
      <c r="DT56" s="28"/>
      <c r="DU56" s="28"/>
      <c r="DV56" s="28"/>
      <c r="DW56" s="28"/>
      <c r="DX56" s="28"/>
      <c r="DY56" s="28"/>
      <c r="DZ56" s="28"/>
      <c r="EA56" s="28"/>
      <c r="EB56" s="35"/>
      <c r="EC56" s="58">
        <f t="shared" si="22"/>
        <v>29</v>
      </c>
      <c r="ED56" s="44"/>
      <c r="EE56" s="50">
        <v>350</v>
      </c>
      <c r="EF56">
        <f t="shared" si="27"/>
        <v>122.62292796011923</v>
      </c>
      <c r="EG56">
        <f t="shared" si="28"/>
        <v>48.972238066009567</v>
      </c>
      <c r="EH56">
        <f t="shared" si="29"/>
        <v>19.948722276754349</v>
      </c>
      <c r="EI56">
        <f t="shared" si="30"/>
        <v>8.1525478211514724</v>
      </c>
      <c r="EJ56">
        <f t="shared" si="31"/>
        <v>3.3335526753782294</v>
      </c>
      <c r="EK56">
        <f t="shared" si="32"/>
        <v>1.3632034856597151</v>
      </c>
      <c r="EL56">
        <f t="shared" si="33"/>
        <v>0.55746889743799466</v>
      </c>
      <c r="EM56">
        <f t="shared" si="34"/>
        <v>0.22797209901652338</v>
      </c>
      <c r="EN56">
        <f t="shared" si="35"/>
        <v>9.3227263831129073E-2</v>
      </c>
      <c r="EO56">
        <f t="shared" si="36"/>
        <v>3.8124504602006948E-2</v>
      </c>
      <c r="EP56">
        <f t="shared" si="37"/>
        <v>1.559069534666341E-2</v>
      </c>
      <c r="EQ56">
        <f t="shared" si="38"/>
        <v>6.3756836819851012E-3</v>
      </c>
      <c r="ER56">
        <f t="shared" si="39"/>
        <v>2.6072821976422787E-3</v>
      </c>
      <c r="ES56">
        <f t="shared" si="40"/>
        <v>1.0662261174793765E-3</v>
      </c>
      <c r="ET56">
        <f t="shared" si="41"/>
        <v>4.3602419969488495E-4</v>
      </c>
      <c r="EU56">
        <f t="shared" si="42"/>
        <v>1.7830842783077603E-4</v>
      </c>
      <c r="EV56">
        <f t="shared" si="43"/>
        <v>7.2917731304224893E-5</v>
      </c>
      <c r="EW56">
        <f t="shared" si="44"/>
        <v>2.9819092699316912E-5</v>
      </c>
      <c r="EX56">
        <f t="shared" si="45"/>
        <v>1.2194267066547393E-5</v>
      </c>
      <c r="EY56">
        <f t="shared" si="46"/>
        <v>4.9867429163493277E-6</v>
      </c>
      <c r="EZ56">
        <f t="shared" si="47"/>
        <v>2.0392865580236185E-6</v>
      </c>
      <c r="FA56">
        <f t="shared" si="48"/>
        <v>8.3394907968913152E-7</v>
      </c>
      <c r="FB56">
        <f t="shared" si="49"/>
        <v>3.4103645943136488E-7</v>
      </c>
      <c r="FC56">
        <f t="shared" si="50"/>
        <v>1.3946399066095971E-7</v>
      </c>
      <c r="FD56" s="52">
        <f t="shared" si="51"/>
        <v>5.7032625554203236E-8</v>
      </c>
      <c r="FE56" s="16"/>
      <c r="FF56" s="16"/>
      <c r="FG56" s="16"/>
      <c r="FH56" s="16"/>
      <c r="FI56" s="16"/>
      <c r="FJ56" s="28"/>
      <c r="FK56" s="28"/>
      <c r="FL56" s="28"/>
      <c r="FM56" s="28"/>
      <c r="FN56" s="28"/>
      <c r="FO56" s="28"/>
      <c r="FP56" s="28"/>
      <c r="FQ56" s="28"/>
      <c r="FR56" s="28"/>
      <c r="FS56" s="35"/>
    </row>
    <row r="57" spans="5:175">
      <c r="E57" s="48"/>
      <c r="F57" s="50">
        <v>350</v>
      </c>
      <c r="G57">
        <f t="shared" si="2"/>
        <v>143.129555158778</v>
      </c>
      <c r="H57">
        <f t="shared" si="3"/>
        <v>58.531627314141929</v>
      </c>
      <c r="I57">
        <f t="shared" si="4"/>
        <v>23.93601651483576</v>
      </c>
      <c r="J57">
        <f t="shared" si="5"/>
        <v>9.788432560118876</v>
      </c>
      <c r="K57">
        <f t="shared" si="6"/>
        <v>4.002897137232897</v>
      </c>
      <c r="L57">
        <f t="shared" si="7"/>
        <v>1.6369511045671215</v>
      </c>
      <c r="M57">
        <f t="shared" si="8"/>
        <v>0.66941738118104965</v>
      </c>
      <c r="N57">
        <f t="shared" si="9"/>
        <v>0.27375260566859994</v>
      </c>
      <c r="O57">
        <f t="shared" si="10"/>
        <v>0.1119488247798084</v>
      </c>
      <c r="P57">
        <f t="shared" si="11"/>
        <v>4.5780529975299945E-2</v>
      </c>
      <c r="Q57">
        <f t="shared" si="12"/>
        <v>1.872156254421813E-2</v>
      </c>
      <c r="R57">
        <f t="shared" si="13"/>
        <v>7.6560254836223534E-3</v>
      </c>
      <c r="S57">
        <f t="shared" si="14"/>
        <v>3.1308672080653582E-3</v>
      </c>
      <c r="T57">
        <f t="shared" si="15"/>
        <v>1.2803418096073824E-3</v>
      </c>
      <c r="U57">
        <f t="shared" si="16"/>
        <v>5.235850287000711E-4</v>
      </c>
      <c r="V57">
        <f t="shared" si="16"/>
        <v>2.1411573673847724E-4</v>
      </c>
      <c r="W57">
        <f t="shared" si="16"/>
        <v>8.7560938087151736E-5</v>
      </c>
      <c r="X57">
        <f t="shared" si="16"/>
        <v>3.5807575649482073E-5</v>
      </c>
      <c r="Y57">
        <f t="shared" si="16"/>
        <v>1.4643859056452057E-5</v>
      </c>
      <c r="Z57">
        <f t="shared" si="16"/>
        <v>5.9900779787622551E-6</v>
      </c>
      <c r="AA57">
        <f t="shared" si="16"/>
        <v>2.4534923723822382E-6</v>
      </c>
      <c r="AB57">
        <f t="shared" si="16"/>
        <v>1.0128728120806008E-6</v>
      </c>
      <c r="AC57">
        <f t="shared" si="16"/>
        <v>4.3752882671607774E-7</v>
      </c>
      <c r="AD57">
        <f t="shared" si="16"/>
        <v>2.359563579456726E-7</v>
      </c>
      <c r="AE57" s="52">
        <f t="shared" si="17"/>
        <v>2.3595635794567258E-7</v>
      </c>
      <c r="AF57" s="16"/>
      <c r="AG57" s="16"/>
      <c r="AH57" s="16"/>
      <c r="AI57" s="16"/>
      <c r="AJ57" s="16"/>
      <c r="AK57" s="28"/>
      <c r="AL57" s="28"/>
      <c r="AM57" s="28"/>
      <c r="AN57" s="28"/>
      <c r="AO57" s="28"/>
      <c r="AP57" s="28"/>
      <c r="AQ57" s="28"/>
      <c r="AR57" s="28"/>
      <c r="AS57" s="28"/>
      <c r="AT57" s="35"/>
      <c r="AU57" s="58">
        <f t="shared" si="18"/>
        <v>28</v>
      </c>
      <c r="AV57" s="46"/>
      <c r="AW57" s="50">
        <f t="shared" si="54"/>
        <v>-1201970000</v>
      </c>
      <c r="AX57">
        <f t="shared" si="55"/>
        <v>0</v>
      </c>
      <c r="AY57">
        <f t="shared" si="56"/>
        <v>0</v>
      </c>
      <c r="AZ57">
        <f t="shared" si="57"/>
        <v>0</v>
      </c>
      <c r="BA57">
        <f t="shared" si="58"/>
        <v>0</v>
      </c>
      <c r="BB57">
        <f t="shared" si="59"/>
        <v>0</v>
      </c>
      <c r="BC57">
        <f t="shared" si="60"/>
        <v>0</v>
      </c>
      <c r="BD57">
        <f t="shared" si="61"/>
        <v>0</v>
      </c>
      <c r="BE57">
        <f t="shared" si="62"/>
        <v>0</v>
      </c>
      <c r="BF57">
        <f t="shared" si="63"/>
        <v>0</v>
      </c>
      <c r="BG57">
        <f t="shared" si="64"/>
        <v>0</v>
      </c>
      <c r="BH57">
        <f t="shared" si="65"/>
        <v>0</v>
      </c>
      <c r="BI57">
        <f t="shared" si="66"/>
        <v>0</v>
      </c>
      <c r="BJ57">
        <f t="shared" si="67"/>
        <v>0</v>
      </c>
      <c r="BK57">
        <f t="shared" si="68"/>
        <v>0</v>
      </c>
      <c r="BL57">
        <f t="shared" si="69"/>
        <v>0</v>
      </c>
      <c r="BM57">
        <f t="shared" si="70"/>
        <v>0</v>
      </c>
      <c r="BN57">
        <f t="shared" si="71"/>
        <v>0</v>
      </c>
      <c r="BO57">
        <f t="shared" si="72"/>
        <v>0</v>
      </c>
      <c r="BP57">
        <f t="shared" si="73"/>
        <v>0</v>
      </c>
      <c r="BQ57">
        <f t="shared" si="74"/>
        <v>0</v>
      </c>
      <c r="BR57">
        <f t="shared" si="75"/>
        <v>0</v>
      </c>
      <c r="BS57">
        <f t="shared" si="76"/>
        <v>0</v>
      </c>
      <c r="BT57">
        <f t="shared" si="77"/>
        <v>0</v>
      </c>
      <c r="BU57">
        <f t="shared" si="78"/>
        <v>0</v>
      </c>
      <c r="BV57" s="50">
        <f t="shared" si="79"/>
        <v>0</v>
      </c>
      <c r="BW57" s="16"/>
      <c r="BX57" s="16"/>
      <c r="BY57" s="16"/>
      <c r="BZ57" s="16"/>
      <c r="CA57" s="16"/>
      <c r="CB57" s="28"/>
      <c r="CC57" s="28"/>
      <c r="CD57" s="28"/>
      <c r="CE57" s="28"/>
      <c r="CF57" s="28"/>
      <c r="CG57" s="28"/>
      <c r="CH57" s="28"/>
      <c r="CI57" s="28"/>
      <c r="CJ57" s="28"/>
      <c r="CK57" s="35"/>
      <c r="CM57" s="44"/>
      <c r="CN57" s="50">
        <v>0</v>
      </c>
      <c r="CO57">
        <f t="shared" ref="CO57:DC57" si="100">$C$20/($C$21-$C$22*CN57)</f>
        <v>0.3503512227431978</v>
      </c>
      <c r="CP57">
        <f t="shared" si="100"/>
        <v>0.39937260413433329</v>
      </c>
      <c r="CQ57">
        <f t="shared" si="100"/>
        <v>0.40734757210535305</v>
      </c>
      <c r="CR57">
        <f t="shared" si="100"/>
        <v>0.40867518771622741</v>
      </c>
      <c r="CS57">
        <f t="shared" si="100"/>
        <v>0.40889704034969959</v>
      </c>
      <c r="CT57">
        <f t="shared" si="100"/>
        <v>0.40893413676297885</v>
      </c>
      <c r="CU57">
        <f t="shared" si="100"/>
        <v>0.40894034038374732</v>
      </c>
      <c r="CV57">
        <f t="shared" si="100"/>
        <v>0.40894137783154072</v>
      </c>
      <c r="CW57">
        <f t="shared" si="100"/>
        <v>0.40894155132717347</v>
      </c>
      <c r="CX57">
        <f t="shared" si="100"/>
        <v>0.4089415803414041</v>
      </c>
      <c r="CY57">
        <f t="shared" si="100"/>
        <v>0.40894158519354729</v>
      </c>
      <c r="CZ57">
        <f t="shared" si="100"/>
        <v>0.40894158600498676</v>
      </c>
      <c r="DA57">
        <f t="shared" si="100"/>
        <v>0.40894158614068643</v>
      </c>
      <c r="DB57">
        <f t="shared" si="100"/>
        <v>0.40894158616337994</v>
      </c>
      <c r="DC57">
        <f t="shared" si="100"/>
        <v>0.40894158616717508</v>
      </c>
      <c r="DD57">
        <f t="shared" ref="DD57:DM57" si="101">$C$20/($C$21-$C$22*DC57)</f>
        <v>0.40894158616780968</v>
      </c>
      <c r="DE57">
        <f t="shared" si="101"/>
        <v>0.40894158616791582</v>
      </c>
      <c r="DF57">
        <f t="shared" si="101"/>
        <v>0.40894158616793358</v>
      </c>
      <c r="DG57">
        <f t="shared" si="101"/>
        <v>0.40894158616793652</v>
      </c>
      <c r="DH57">
        <f t="shared" si="101"/>
        <v>0.40894158616793708</v>
      </c>
      <c r="DI57">
        <f t="shared" si="101"/>
        <v>0.40894158616793713</v>
      </c>
      <c r="DJ57">
        <f t="shared" si="101"/>
        <v>0.40894158616793713</v>
      </c>
      <c r="DK57">
        <f t="shared" si="101"/>
        <v>0.40894158616793713</v>
      </c>
      <c r="DL57">
        <f t="shared" si="101"/>
        <v>0.40894158616793713</v>
      </c>
      <c r="DM57" s="52">
        <f t="shared" si="101"/>
        <v>0.40894158616793713</v>
      </c>
      <c r="DN57" s="16"/>
      <c r="DO57" s="16"/>
      <c r="DP57" s="16"/>
      <c r="DQ57" s="16"/>
      <c r="DR57" s="16"/>
      <c r="DS57" s="28"/>
      <c r="DT57" s="28"/>
      <c r="DU57" s="28"/>
      <c r="DV57" s="28"/>
      <c r="DW57" s="28"/>
      <c r="DX57" s="28"/>
      <c r="DY57" s="28"/>
      <c r="DZ57" s="28"/>
      <c r="EA57" s="28"/>
      <c r="EB57" s="35"/>
      <c r="EC57" s="58">
        <f t="shared" si="22"/>
        <v>28</v>
      </c>
      <c r="ED57" s="44"/>
      <c r="EE57" s="50">
        <v>350</v>
      </c>
      <c r="EF57">
        <f t="shared" si="27"/>
        <v>122.62292796011923</v>
      </c>
      <c r="EG57">
        <f t="shared" si="28"/>
        <v>48.972238066009567</v>
      </c>
      <c r="EH57">
        <f t="shared" si="29"/>
        <v>19.948722276754349</v>
      </c>
      <c r="EI57">
        <f t="shared" si="30"/>
        <v>8.1525478211514724</v>
      </c>
      <c r="EJ57">
        <f t="shared" si="31"/>
        <v>3.3335526753782294</v>
      </c>
      <c r="EK57">
        <f t="shared" si="32"/>
        <v>1.3632034856597151</v>
      </c>
      <c r="EL57">
        <f t="shared" si="33"/>
        <v>0.55746889743799466</v>
      </c>
      <c r="EM57">
        <f t="shared" si="34"/>
        <v>0.22797209901652338</v>
      </c>
      <c r="EN57">
        <f t="shared" si="35"/>
        <v>9.3227263831129073E-2</v>
      </c>
      <c r="EO57">
        <f t="shared" si="36"/>
        <v>3.8124504602006948E-2</v>
      </c>
      <c r="EP57">
        <f t="shared" si="37"/>
        <v>1.559069534666341E-2</v>
      </c>
      <c r="EQ57">
        <f t="shared" si="38"/>
        <v>6.3756836819851012E-3</v>
      </c>
      <c r="ER57">
        <f t="shared" si="39"/>
        <v>2.6072821976422787E-3</v>
      </c>
      <c r="ES57">
        <f t="shared" si="40"/>
        <v>1.0662261174793765E-3</v>
      </c>
      <c r="ET57">
        <f t="shared" si="41"/>
        <v>4.3602419969488495E-4</v>
      </c>
      <c r="EU57">
        <f t="shared" si="42"/>
        <v>1.7830842783077603E-4</v>
      </c>
      <c r="EV57">
        <f t="shared" si="43"/>
        <v>7.2917731304224893E-5</v>
      </c>
      <c r="EW57">
        <f t="shared" si="44"/>
        <v>2.9819092699316912E-5</v>
      </c>
      <c r="EX57">
        <f t="shared" si="45"/>
        <v>1.2194267066547393E-5</v>
      </c>
      <c r="EY57">
        <f t="shared" si="46"/>
        <v>4.9867429163493277E-6</v>
      </c>
      <c r="EZ57">
        <f t="shared" si="47"/>
        <v>2.0392865580236185E-6</v>
      </c>
      <c r="FA57">
        <f t="shared" si="48"/>
        <v>8.3394907968913152E-7</v>
      </c>
      <c r="FB57">
        <f t="shared" si="49"/>
        <v>3.4103645943136488E-7</v>
      </c>
      <c r="FC57">
        <f t="shared" si="50"/>
        <v>1.3946399066095971E-7</v>
      </c>
      <c r="FD57" s="52">
        <f t="shared" si="51"/>
        <v>5.7032625554203236E-8</v>
      </c>
      <c r="FE57" s="16"/>
      <c r="FF57" s="16"/>
      <c r="FG57" s="16"/>
      <c r="FH57" s="16"/>
      <c r="FI57" s="16"/>
      <c r="FJ57" s="28"/>
      <c r="FK57" s="28"/>
      <c r="FL57" s="28"/>
      <c r="FM57" s="28"/>
      <c r="FN57" s="28"/>
      <c r="FO57" s="28"/>
      <c r="FP57" s="28"/>
      <c r="FQ57" s="28"/>
      <c r="FR57" s="28"/>
      <c r="FS57" s="35"/>
    </row>
    <row r="58" spans="5:175">
      <c r="E58" s="48"/>
      <c r="F58" s="50">
        <v>350</v>
      </c>
      <c r="G58">
        <f t="shared" si="2"/>
        <v>143.129555158778</v>
      </c>
      <c r="H58">
        <f t="shared" si="3"/>
        <v>58.531627314141929</v>
      </c>
      <c r="I58">
        <f t="shared" si="4"/>
        <v>23.93601651483576</v>
      </c>
      <c r="J58">
        <f t="shared" si="5"/>
        <v>9.788432560118876</v>
      </c>
      <c r="K58">
        <f t="shared" si="6"/>
        <v>4.002897137232897</v>
      </c>
      <c r="L58">
        <f t="shared" si="7"/>
        <v>1.6369511045671215</v>
      </c>
      <c r="M58">
        <f t="shared" si="8"/>
        <v>0.66941738118104965</v>
      </c>
      <c r="N58">
        <f t="shared" si="9"/>
        <v>0.27375260566859994</v>
      </c>
      <c r="O58">
        <f t="shared" si="10"/>
        <v>0.1119488247798084</v>
      </c>
      <c r="P58">
        <f t="shared" si="11"/>
        <v>4.5780529975299945E-2</v>
      </c>
      <c r="Q58">
        <f t="shared" si="12"/>
        <v>1.872156254421813E-2</v>
      </c>
      <c r="R58">
        <f t="shared" si="13"/>
        <v>7.6560254836223534E-3</v>
      </c>
      <c r="S58">
        <f t="shared" si="14"/>
        <v>3.1308672080653582E-3</v>
      </c>
      <c r="T58">
        <f t="shared" si="15"/>
        <v>1.2803418096073824E-3</v>
      </c>
      <c r="U58">
        <f t="shared" si="16"/>
        <v>5.235850287000711E-4</v>
      </c>
      <c r="V58">
        <f t="shared" si="16"/>
        <v>2.1411573673847724E-4</v>
      </c>
      <c r="W58">
        <f t="shared" si="16"/>
        <v>8.7560938087151736E-5</v>
      </c>
      <c r="X58">
        <f t="shared" si="16"/>
        <v>3.5807575649482073E-5</v>
      </c>
      <c r="Y58">
        <f t="shared" si="16"/>
        <v>1.4643859056452057E-5</v>
      </c>
      <c r="Z58">
        <f t="shared" si="16"/>
        <v>5.9900779787622551E-6</v>
      </c>
      <c r="AA58">
        <f t="shared" si="16"/>
        <v>2.4534923723822382E-6</v>
      </c>
      <c r="AB58">
        <f t="shared" si="16"/>
        <v>1.0128728120806008E-6</v>
      </c>
      <c r="AC58">
        <f t="shared" si="16"/>
        <v>4.3752882671607774E-7</v>
      </c>
      <c r="AD58">
        <f t="shared" si="16"/>
        <v>2.359563579456726E-7</v>
      </c>
      <c r="AE58" s="52">
        <f t="shared" si="17"/>
        <v>2.3595635794567258E-7</v>
      </c>
      <c r="AF58" s="16"/>
      <c r="AG58" s="16"/>
      <c r="AH58" s="16"/>
      <c r="AI58" s="16"/>
      <c r="AJ58" s="16"/>
      <c r="AK58" s="28"/>
      <c r="AL58" s="28"/>
      <c r="AM58" s="28"/>
      <c r="AN58" s="28"/>
      <c r="AO58" s="28"/>
      <c r="AP58" s="28"/>
      <c r="AQ58" s="28"/>
      <c r="AR58" s="28"/>
      <c r="AS58" s="28"/>
      <c r="AT58" s="35"/>
      <c r="AU58" s="58">
        <f t="shared" si="18"/>
        <v>27</v>
      </c>
      <c r="AV58" s="46"/>
      <c r="AW58" s="50">
        <f t="shared" si="54"/>
        <v>-1201970000</v>
      </c>
      <c r="AX58">
        <f t="shared" si="55"/>
        <v>0</v>
      </c>
      <c r="AY58">
        <f t="shared" si="56"/>
        <v>0</v>
      </c>
      <c r="AZ58">
        <f t="shared" si="57"/>
        <v>0</v>
      </c>
      <c r="BA58">
        <f t="shared" si="58"/>
        <v>0</v>
      </c>
      <c r="BB58">
        <f t="shared" si="59"/>
        <v>0</v>
      </c>
      <c r="BC58">
        <f t="shared" si="60"/>
        <v>0</v>
      </c>
      <c r="BD58">
        <f t="shared" si="61"/>
        <v>0</v>
      </c>
      <c r="BE58">
        <f t="shared" si="62"/>
        <v>0</v>
      </c>
      <c r="BF58">
        <f t="shared" si="63"/>
        <v>0</v>
      </c>
      <c r="BG58">
        <f t="shared" si="64"/>
        <v>0</v>
      </c>
      <c r="BH58">
        <f t="shared" si="65"/>
        <v>0</v>
      </c>
      <c r="BI58">
        <f>-($C$16*$C$15/$C$13)*R16</f>
        <v>0</v>
      </c>
      <c r="BJ58">
        <f t="shared" si="67"/>
        <v>0</v>
      </c>
      <c r="BK58">
        <f t="shared" si="68"/>
        <v>0</v>
      </c>
      <c r="BL58">
        <f t="shared" si="69"/>
        <v>0</v>
      </c>
      <c r="BM58">
        <f t="shared" si="70"/>
        <v>0</v>
      </c>
      <c r="BN58">
        <f t="shared" si="71"/>
        <v>0</v>
      </c>
      <c r="BO58">
        <f t="shared" si="72"/>
        <v>0</v>
      </c>
      <c r="BP58">
        <f t="shared" si="73"/>
        <v>0</v>
      </c>
      <c r="BQ58">
        <f t="shared" si="74"/>
        <v>0</v>
      </c>
      <c r="BR58">
        <f t="shared" si="75"/>
        <v>0</v>
      </c>
      <c r="BS58">
        <f t="shared" si="76"/>
        <v>0</v>
      </c>
      <c r="BT58">
        <f t="shared" si="77"/>
        <v>0</v>
      </c>
      <c r="BU58">
        <f t="shared" si="78"/>
        <v>0</v>
      </c>
      <c r="BV58" s="50">
        <f t="shared" si="79"/>
        <v>0</v>
      </c>
      <c r="BW58" s="16"/>
      <c r="BX58" s="16"/>
      <c r="BY58" s="16"/>
      <c r="BZ58" s="16"/>
      <c r="CA58" s="16"/>
      <c r="CB58" s="28"/>
      <c r="CC58" s="28"/>
      <c r="CD58" s="28"/>
      <c r="CE58" s="28"/>
      <c r="CF58" s="28"/>
      <c r="CG58" s="28"/>
      <c r="CH58" s="28"/>
      <c r="CI58" s="28"/>
      <c r="CJ58" s="28"/>
      <c r="CK58" s="35"/>
      <c r="CM58" s="44"/>
      <c r="CN58" s="50">
        <v>0</v>
      </c>
      <c r="CO58">
        <f t="shared" ref="CO58:DC58" si="102">$C$20/($C$21-$C$22*CN58)</f>
        <v>0.3503512227431978</v>
      </c>
      <c r="CP58">
        <f t="shared" si="102"/>
        <v>0.39937260413433329</v>
      </c>
      <c r="CQ58">
        <f t="shared" si="102"/>
        <v>0.40734757210535305</v>
      </c>
      <c r="CR58">
        <f t="shared" si="102"/>
        <v>0.40867518771622741</v>
      </c>
      <c r="CS58">
        <f t="shared" si="102"/>
        <v>0.40889704034969959</v>
      </c>
      <c r="CT58">
        <f t="shared" si="102"/>
        <v>0.40893413676297885</v>
      </c>
      <c r="CU58">
        <f t="shared" si="102"/>
        <v>0.40894034038374732</v>
      </c>
      <c r="CV58">
        <f t="shared" si="102"/>
        <v>0.40894137783154072</v>
      </c>
      <c r="CW58">
        <f t="shared" si="102"/>
        <v>0.40894155132717347</v>
      </c>
      <c r="CX58">
        <f t="shared" si="102"/>
        <v>0.4089415803414041</v>
      </c>
      <c r="CY58">
        <f t="shared" si="102"/>
        <v>0.40894158519354729</v>
      </c>
      <c r="CZ58">
        <f t="shared" si="102"/>
        <v>0.40894158600498676</v>
      </c>
      <c r="DA58">
        <f t="shared" si="102"/>
        <v>0.40894158614068643</v>
      </c>
      <c r="DB58">
        <f t="shared" si="102"/>
        <v>0.40894158616337994</v>
      </c>
      <c r="DC58">
        <f t="shared" si="102"/>
        <v>0.40894158616717508</v>
      </c>
      <c r="DD58">
        <f t="shared" ref="DD58:DM58" si="103">$C$20/($C$21-$C$22*DC58)</f>
        <v>0.40894158616780968</v>
      </c>
      <c r="DE58">
        <f t="shared" si="103"/>
        <v>0.40894158616791582</v>
      </c>
      <c r="DF58">
        <f t="shared" si="103"/>
        <v>0.40894158616793358</v>
      </c>
      <c r="DG58">
        <f t="shared" si="103"/>
        <v>0.40894158616793652</v>
      </c>
      <c r="DH58">
        <f t="shared" si="103"/>
        <v>0.40894158616793708</v>
      </c>
      <c r="DI58">
        <f t="shared" si="103"/>
        <v>0.40894158616793713</v>
      </c>
      <c r="DJ58">
        <f t="shared" si="103"/>
        <v>0.40894158616793713</v>
      </c>
      <c r="DK58">
        <f t="shared" si="103"/>
        <v>0.40894158616793713</v>
      </c>
      <c r="DL58">
        <f t="shared" si="103"/>
        <v>0.40894158616793713</v>
      </c>
      <c r="DM58" s="52">
        <f t="shared" si="103"/>
        <v>0.40894158616793713</v>
      </c>
      <c r="DN58" s="16"/>
      <c r="DO58" s="16"/>
      <c r="DP58" s="16"/>
      <c r="DQ58" s="16"/>
      <c r="DR58" s="16"/>
      <c r="DS58" s="28"/>
      <c r="DT58" s="28"/>
      <c r="DU58" s="28"/>
      <c r="DV58" s="28"/>
      <c r="DW58" s="28"/>
      <c r="DX58" s="28"/>
      <c r="DY58" s="28"/>
      <c r="DZ58" s="28"/>
      <c r="EA58" s="28"/>
      <c r="EB58" s="35"/>
      <c r="EC58" s="58">
        <f t="shared" si="22"/>
        <v>27</v>
      </c>
      <c r="ED58" s="44"/>
      <c r="EE58" s="50">
        <v>350</v>
      </c>
      <c r="EF58">
        <f t="shared" si="27"/>
        <v>122.62292796011923</v>
      </c>
      <c r="EG58">
        <f t="shared" si="28"/>
        <v>48.972238066009567</v>
      </c>
      <c r="EH58">
        <f t="shared" si="29"/>
        <v>19.948722276754349</v>
      </c>
      <c r="EI58">
        <f t="shared" si="30"/>
        <v>8.1525478211514724</v>
      </c>
      <c r="EJ58">
        <f t="shared" si="31"/>
        <v>3.3335526753782294</v>
      </c>
      <c r="EK58">
        <f t="shared" si="32"/>
        <v>1.3632034856597151</v>
      </c>
      <c r="EL58">
        <f t="shared" si="33"/>
        <v>0.55746889743799466</v>
      </c>
      <c r="EM58">
        <f t="shared" si="34"/>
        <v>0.22797209901652338</v>
      </c>
      <c r="EN58">
        <f t="shared" si="35"/>
        <v>9.3227263831129073E-2</v>
      </c>
      <c r="EO58">
        <f t="shared" si="36"/>
        <v>3.8124504602006948E-2</v>
      </c>
      <c r="EP58">
        <f t="shared" si="37"/>
        <v>1.559069534666341E-2</v>
      </c>
      <c r="EQ58">
        <f t="shared" si="38"/>
        <v>6.3756836819851012E-3</v>
      </c>
      <c r="ER58">
        <f t="shared" si="39"/>
        <v>2.6072821976422787E-3</v>
      </c>
      <c r="ES58">
        <f t="shared" si="40"/>
        <v>1.0662261174793765E-3</v>
      </c>
      <c r="ET58">
        <f t="shared" si="41"/>
        <v>4.3602419969488495E-4</v>
      </c>
      <c r="EU58">
        <f t="shared" si="42"/>
        <v>1.7830842783077603E-4</v>
      </c>
      <c r="EV58">
        <f t="shared" si="43"/>
        <v>7.2917731304224893E-5</v>
      </c>
      <c r="EW58">
        <f t="shared" si="44"/>
        <v>2.9819092699316912E-5</v>
      </c>
      <c r="EX58">
        <f t="shared" si="45"/>
        <v>1.2194267066547393E-5</v>
      </c>
      <c r="EY58">
        <f t="shared" si="46"/>
        <v>4.9867429163493277E-6</v>
      </c>
      <c r="EZ58">
        <f t="shared" si="47"/>
        <v>2.0392865580236185E-6</v>
      </c>
      <c r="FA58">
        <f t="shared" si="48"/>
        <v>8.3394907968913152E-7</v>
      </c>
      <c r="FB58">
        <f t="shared" si="49"/>
        <v>3.4103645943136488E-7</v>
      </c>
      <c r="FC58">
        <f t="shared" si="50"/>
        <v>1.3946399066095971E-7</v>
      </c>
      <c r="FD58" s="52">
        <f t="shared" si="51"/>
        <v>5.7032625554203236E-8</v>
      </c>
      <c r="FE58" s="16"/>
      <c r="FF58" s="16"/>
      <c r="FG58" s="16"/>
      <c r="FH58" s="16"/>
      <c r="FI58" s="16"/>
      <c r="FJ58" s="28"/>
      <c r="FK58" s="28"/>
      <c r="FL58" s="28"/>
      <c r="FM58" s="28"/>
      <c r="FN58" s="28"/>
      <c r="FO58" s="28"/>
      <c r="FP58" s="28"/>
      <c r="FQ58" s="28"/>
      <c r="FR58" s="28"/>
      <c r="FS58" s="35"/>
    </row>
    <row r="59" spans="5:175">
      <c r="E59" s="48"/>
      <c r="F59" s="50">
        <v>350</v>
      </c>
      <c r="G59" s="52">
        <f t="shared" si="2"/>
        <v>143.12955515718298</v>
      </c>
      <c r="H59" s="52">
        <f t="shared" si="3"/>
        <v>58.531627309589275</v>
      </c>
      <c r="I59" s="52">
        <f t="shared" si="4"/>
        <v>23.936016503436239</v>
      </c>
      <c r="J59" s="52">
        <f t="shared" si="5"/>
        <v>9.7884325321341237</v>
      </c>
      <c r="K59" s="52">
        <f t="shared" si="6"/>
        <v>4.0028970687561403</v>
      </c>
      <c r="L59" s="52">
        <f t="shared" si="7"/>
        <v>1.6369509371001316</v>
      </c>
      <c r="M59" s="52">
        <f t="shared" si="8"/>
        <v>0.66941697166035952</v>
      </c>
      <c r="N59" s="52">
        <f t="shared" si="9"/>
        <v>0.27375160424944478</v>
      </c>
      <c r="O59" s="52">
        <f t="shared" si="10"/>
        <v>0.11194637597122731</v>
      </c>
      <c r="P59" s="52">
        <f t="shared" si="11"/>
        <v>4.5774541812509582E-2</v>
      </c>
      <c r="Q59" s="52">
        <f t="shared" si="12"/>
        <v>1.8706919467851656E-2</v>
      </c>
      <c r="R59" s="52">
        <f t="shared" si="13"/>
        <v>7.6202182267997333E-3</v>
      </c>
      <c r="S59" s="52">
        <f t="shared" si="14"/>
        <v>3.043306397308921E-3</v>
      </c>
      <c r="T59" s="52">
        <f t="shared" si="15"/>
        <v>1.0662261174793765E-3</v>
      </c>
      <c r="U59" s="52">
        <f t="shared" si="16"/>
        <v>0</v>
      </c>
      <c r="V59">
        <f t="shared" si="16"/>
        <v>0</v>
      </c>
      <c r="W59">
        <f t="shared" si="16"/>
        <v>0</v>
      </c>
      <c r="X59">
        <f t="shared" si="16"/>
        <v>0</v>
      </c>
      <c r="Y59">
        <f t="shared" si="16"/>
        <v>0</v>
      </c>
      <c r="Z59">
        <f t="shared" si="16"/>
        <v>0</v>
      </c>
      <c r="AA59">
        <f t="shared" si="16"/>
        <v>0</v>
      </c>
      <c r="AB59">
        <f t="shared" si="16"/>
        <v>0</v>
      </c>
      <c r="AC59">
        <f t="shared" si="16"/>
        <v>0</v>
      </c>
      <c r="AD59">
        <f t="shared" si="16"/>
        <v>0</v>
      </c>
      <c r="AE59" s="52">
        <f t="shared" si="17"/>
        <v>0</v>
      </c>
      <c r="AF59" s="16"/>
      <c r="AG59" s="16"/>
      <c r="AH59" s="16"/>
      <c r="AI59" s="16"/>
      <c r="AJ59" s="16"/>
      <c r="AK59" s="28"/>
      <c r="AL59" s="28"/>
      <c r="AM59" s="28"/>
      <c r="AN59" s="28"/>
      <c r="AO59" s="28"/>
      <c r="AP59" s="28"/>
      <c r="AQ59" s="28"/>
      <c r="AR59" s="28"/>
      <c r="AS59" s="28"/>
      <c r="AT59" s="35"/>
      <c r="AU59" s="58">
        <f t="shared" si="18"/>
        <v>26</v>
      </c>
      <c r="AV59" s="46"/>
      <c r="AW59" s="50">
        <f t="shared" si="54"/>
        <v>-1201970000</v>
      </c>
      <c r="AX59" s="50">
        <f t="shared" si="55"/>
        <v>0</v>
      </c>
      <c r="AY59" s="50">
        <f t="shared" si="56"/>
        <v>0</v>
      </c>
      <c r="AZ59" s="50">
        <f t="shared" si="57"/>
        <v>0</v>
      </c>
      <c r="BA59" s="50">
        <f t="shared" si="58"/>
        <v>0</v>
      </c>
      <c r="BB59" s="50">
        <f t="shared" si="59"/>
        <v>0</v>
      </c>
      <c r="BC59" s="50">
        <f t="shared" si="60"/>
        <v>0</v>
      </c>
      <c r="BD59" s="50">
        <f t="shared" si="61"/>
        <v>0</v>
      </c>
      <c r="BE59" s="50">
        <f t="shared" si="62"/>
        <v>0</v>
      </c>
      <c r="BF59" s="50">
        <f t="shared" si="63"/>
        <v>0</v>
      </c>
      <c r="BG59" s="50">
        <f t="shared" si="64"/>
        <v>0</v>
      </c>
      <c r="BH59" s="50">
        <f t="shared" si="65"/>
        <v>0</v>
      </c>
      <c r="BI59" s="50">
        <f t="shared" si="66"/>
        <v>0</v>
      </c>
      <c r="BJ59" s="50">
        <f t="shared" si="67"/>
        <v>0</v>
      </c>
      <c r="BK59" s="50">
        <f t="shared" si="68"/>
        <v>0</v>
      </c>
      <c r="BL59" s="57">
        <f>-($C$16*$C$15/$C$13)*U17</f>
        <v>0</v>
      </c>
      <c r="BM59">
        <f t="shared" si="70"/>
        <v>0</v>
      </c>
      <c r="BN59">
        <f t="shared" si="71"/>
        <v>0</v>
      </c>
      <c r="BO59">
        <f t="shared" si="72"/>
        <v>0</v>
      </c>
      <c r="BP59">
        <f t="shared" si="73"/>
        <v>0</v>
      </c>
      <c r="BQ59">
        <f t="shared" si="74"/>
        <v>0</v>
      </c>
      <c r="BR59">
        <f t="shared" si="75"/>
        <v>0</v>
      </c>
      <c r="BS59">
        <f t="shared" si="76"/>
        <v>0</v>
      </c>
      <c r="BT59">
        <f t="shared" si="77"/>
        <v>0</v>
      </c>
      <c r="BU59">
        <f t="shared" si="78"/>
        <v>0</v>
      </c>
      <c r="BV59" s="50">
        <f t="shared" si="79"/>
        <v>0</v>
      </c>
      <c r="BW59" s="16"/>
      <c r="BX59" s="16"/>
      <c r="BY59" s="16"/>
      <c r="BZ59" s="16"/>
      <c r="CA59" s="16"/>
      <c r="CB59" s="28"/>
      <c r="CC59" s="28"/>
      <c r="CD59" s="28"/>
      <c r="CE59" s="28"/>
      <c r="CF59" s="28"/>
      <c r="CG59" s="28"/>
      <c r="CH59" s="28"/>
      <c r="CI59" s="28"/>
      <c r="CJ59" s="28"/>
      <c r="CK59" s="35"/>
      <c r="CM59" s="44"/>
      <c r="CN59" s="50">
        <v>0</v>
      </c>
      <c r="CO59" s="52">
        <f t="shared" ref="CO59:DC59" si="104">$C$20/($C$21-$C$22*CN59)</f>
        <v>0.3503512227431978</v>
      </c>
      <c r="CP59" s="52">
        <f t="shared" si="104"/>
        <v>0.39937260413433329</v>
      </c>
      <c r="CQ59" s="52">
        <f t="shared" si="104"/>
        <v>0.40734757210535305</v>
      </c>
      <c r="CR59" s="52">
        <f t="shared" si="104"/>
        <v>0.40867518771622741</v>
      </c>
      <c r="CS59" s="52">
        <f t="shared" si="104"/>
        <v>0.40889704034969959</v>
      </c>
      <c r="CT59" s="52">
        <f t="shared" si="104"/>
        <v>0.40893413676297885</v>
      </c>
      <c r="CU59" s="52">
        <f t="shared" si="104"/>
        <v>0.40894034038374732</v>
      </c>
      <c r="CV59" s="52">
        <f t="shared" si="104"/>
        <v>0.40894137783154072</v>
      </c>
      <c r="CW59" s="52">
        <f t="shared" si="104"/>
        <v>0.40894155132717347</v>
      </c>
      <c r="CX59" s="52">
        <f t="shared" si="104"/>
        <v>0.4089415803414041</v>
      </c>
      <c r="CY59" s="52">
        <f t="shared" si="104"/>
        <v>0.40894158519354729</v>
      </c>
      <c r="CZ59" s="52">
        <f t="shared" si="104"/>
        <v>0.40894158600498676</v>
      </c>
      <c r="DA59" s="52">
        <f t="shared" si="104"/>
        <v>0.40894158614068643</v>
      </c>
      <c r="DB59" s="52">
        <f t="shared" si="104"/>
        <v>0.40894158616337994</v>
      </c>
      <c r="DC59" s="57">
        <v>1</v>
      </c>
      <c r="DD59">
        <f t="shared" ref="DD59:DM59" si="105">$C$20/($C$21-$C$22*DC59)</f>
        <v>0.539293284322932</v>
      </c>
      <c r="DE59">
        <f t="shared" si="105"/>
        <v>0.4319681814909459</v>
      </c>
      <c r="DF59">
        <f t="shared" si="105"/>
        <v>0.41282900386486376</v>
      </c>
      <c r="DG59">
        <f t="shared" si="105"/>
        <v>0.4095927266858736</v>
      </c>
      <c r="DH59">
        <f t="shared" si="105"/>
        <v>0.40905050749740984</v>
      </c>
      <c r="DI59">
        <f t="shared" si="105"/>
        <v>0.40895980224407819</v>
      </c>
      <c r="DJ59">
        <f t="shared" si="105"/>
        <v>0.4089446325237156</v>
      </c>
      <c r="DK59">
        <f t="shared" si="105"/>
        <v>0.40894209562046063</v>
      </c>
      <c r="DL59">
        <f t="shared" si="105"/>
        <v>0.40894167136534132</v>
      </c>
      <c r="DM59" s="52">
        <f t="shared" si="105"/>
        <v>0.40894160041577399</v>
      </c>
      <c r="DN59" s="16"/>
      <c r="DO59" s="16"/>
      <c r="DP59" s="16"/>
      <c r="DQ59" s="16"/>
      <c r="DR59" s="16"/>
      <c r="DS59" s="28"/>
      <c r="DT59" s="28"/>
      <c r="DU59" s="28"/>
      <c r="DV59" s="28"/>
      <c r="DW59" s="28"/>
      <c r="DX59" s="28"/>
      <c r="DY59" s="28"/>
      <c r="DZ59" s="28"/>
      <c r="EA59" s="28"/>
      <c r="EB59" s="35"/>
      <c r="EC59" s="58">
        <f t="shared" si="22"/>
        <v>26</v>
      </c>
      <c r="ED59" s="44"/>
      <c r="EE59" s="50">
        <v>350</v>
      </c>
      <c r="EF59" s="52">
        <f t="shared" si="27"/>
        <v>122.62292796011923</v>
      </c>
      <c r="EG59" s="52">
        <f t="shared" si="28"/>
        <v>48.972238066009567</v>
      </c>
      <c r="EH59" s="52">
        <f t="shared" si="29"/>
        <v>19.948722276754349</v>
      </c>
      <c r="EI59" s="52">
        <f t="shared" si="30"/>
        <v>8.1525478211514724</v>
      </c>
      <c r="EJ59" s="52">
        <f t="shared" si="31"/>
        <v>3.3335526753782294</v>
      </c>
      <c r="EK59" s="52">
        <f t="shared" si="32"/>
        <v>1.3632034856597151</v>
      </c>
      <c r="EL59" s="52">
        <f t="shared" si="33"/>
        <v>0.55746889743799466</v>
      </c>
      <c r="EM59" s="52">
        <f t="shared" si="34"/>
        <v>0.22797209901652338</v>
      </c>
      <c r="EN59" s="52">
        <f t="shared" si="35"/>
        <v>9.3227263831129073E-2</v>
      </c>
      <c r="EO59" s="52">
        <f t="shared" si="36"/>
        <v>3.8124504602006948E-2</v>
      </c>
      <c r="EP59" s="52">
        <f t="shared" si="37"/>
        <v>1.559069534666341E-2</v>
      </c>
      <c r="EQ59" s="52">
        <f t="shared" si="38"/>
        <v>6.3756836819851012E-3</v>
      </c>
      <c r="ER59" s="52">
        <f t="shared" si="39"/>
        <v>2.6072821976422787E-3</v>
      </c>
      <c r="ES59" s="52">
        <f t="shared" si="40"/>
        <v>1.0662261174793765E-3</v>
      </c>
      <c r="ET59" s="57">
        <v>0</v>
      </c>
      <c r="EU59">
        <f t="shared" si="42"/>
        <v>0</v>
      </c>
      <c r="EV59">
        <f t="shared" si="43"/>
        <v>0</v>
      </c>
      <c r="EW59">
        <f t="shared" si="44"/>
        <v>0</v>
      </c>
      <c r="EX59">
        <f t="shared" si="45"/>
        <v>0</v>
      </c>
      <c r="EY59">
        <f t="shared" si="46"/>
        <v>0</v>
      </c>
      <c r="EZ59">
        <f t="shared" si="47"/>
        <v>0</v>
      </c>
      <c r="FA59">
        <f t="shared" si="48"/>
        <v>0</v>
      </c>
      <c r="FB59">
        <f t="shared" si="49"/>
        <v>0</v>
      </c>
      <c r="FC59">
        <f t="shared" si="50"/>
        <v>0</v>
      </c>
      <c r="FD59" s="52">
        <f t="shared" si="51"/>
        <v>0</v>
      </c>
      <c r="FE59" s="16"/>
      <c r="FF59" s="16"/>
      <c r="FG59" s="16"/>
      <c r="FH59" s="16"/>
      <c r="FI59" s="16"/>
      <c r="FJ59" s="28"/>
      <c r="FK59" s="28"/>
      <c r="FL59" s="28"/>
      <c r="FM59" s="28"/>
      <c r="FN59" s="28"/>
      <c r="FO59" s="28"/>
      <c r="FP59" s="28"/>
      <c r="FQ59" s="28"/>
      <c r="FR59" s="28"/>
      <c r="FS59" s="35"/>
    </row>
    <row r="60" spans="5:175">
      <c r="E60" s="48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52">
        <f t="shared" ref="U60:AE73" si="106">DC60*V60+ET60</f>
        <v>0</v>
      </c>
      <c r="V60">
        <f t="shared" si="106"/>
        <v>0</v>
      </c>
      <c r="W60">
        <f t="shared" si="106"/>
        <v>0</v>
      </c>
      <c r="X60">
        <f t="shared" si="106"/>
        <v>0</v>
      </c>
      <c r="Y60">
        <f t="shared" si="106"/>
        <v>0</v>
      </c>
      <c r="Z60">
        <f t="shared" si="106"/>
        <v>0</v>
      </c>
      <c r="AA60">
        <f t="shared" si="106"/>
        <v>0</v>
      </c>
      <c r="AB60">
        <f t="shared" si="106"/>
        <v>0</v>
      </c>
      <c r="AC60">
        <f t="shared" si="106"/>
        <v>0</v>
      </c>
      <c r="AD60">
        <f t="shared" si="106"/>
        <v>0</v>
      </c>
      <c r="AE60" s="52">
        <f t="shared" si="17"/>
        <v>0</v>
      </c>
      <c r="AF60" s="16"/>
      <c r="AG60" s="16"/>
      <c r="AH60" s="16"/>
      <c r="AI60" s="16"/>
      <c r="AJ60" s="16"/>
      <c r="AK60" s="28"/>
      <c r="AL60" s="28"/>
      <c r="AM60" s="28"/>
      <c r="AN60" s="28"/>
      <c r="AO60" s="28"/>
      <c r="AP60" s="28"/>
      <c r="AQ60" s="28"/>
      <c r="AR60" s="28"/>
      <c r="AS60" s="28"/>
      <c r="AT60" s="35"/>
      <c r="AU60" s="58">
        <f t="shared" si="18"/>
        <v>25</v>
      </c>
      <c r="AV60" s="4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50">
        <f t="shared" ref="BL60:BL84" si="107">-($C$16*$C$15/$C$13)*U18</f>
        <v>0</v>
      </c>
      <c r="BM60">
        <f t="shared" ref="BM60:BM84" si="108">-($C$16*$C$15/$C$13)*V18</f>
        <v>0</v>
      </c>
      <c r="BN60">
        <f t="shared" ref="BN60:BN84" si="109">-($C$16*$C$15/$C$13)*W18</f>
        <v>0</v>
      </c>
      <c r="BO60">
        <f t="shared" ref="BO60:BO84" si="110">-($C$16*$C$15/$C$13)*X18</f>
        <v>0</v>
      </c>
      <c r="BP60">
        <f t="shared" ref="BP60:BP84" si="111">-($C$16*$C$15/$C$13)*Y18</f>
        <v>0</v>
      </c>
      <c r="BQ60">
        <f t="shared" ref="BQ60:BQ84" si="112">-($C$16*$C$15/$C$13)*Z18</f>
        <v>0</v>
      </c>
      <c r="BR60">
        <f t="shared" ref="BR60:BR84" si="113">-($C$16*$C$15/$C$13)*AA18</f>
        <v>0</v>
      </c>
      <c r="BS60">
        <f t="shared" ref="BS60:BS84" si="114">-($C$16*$C$15/$C$13)*AB18</f>
        <v>0</v>
      </c>
      <c r="BT60">
        <f t="shared" ref="BT60:BT84" si="115">-($C$16*$C$15/$C$13)*AC18</f>
        <v>0</v>
      </c>
      <c r="BU60">
        <f t="shared" ref="BU60:BU84" si="116">-($C$16*$C$15/$C$13)*AD18</f>
        <v>0</v>
      </c>
      <c r="BV60" s="50">
        <f t="shared" ref="BV60:BV84" si="117">-($C$16*$C$15/$C$13)*AE18</f>
        <v>0</v>
      </c>
      <c r="BW60" s="16"/>
      <c r="BX60" s="16"/>
      <c r="BY60" s="16"/>
      <c r="BZ60" s="16"/>
      <c r="CA60" s="16"/>
      <c r="CB60" s="28"/>
      <c r="CC60" s="28"/>
      <c r="CD60" s="28"/>
      <c r="CE60" s="28"/>
      <c r="CF60" s="28"/>
      <c r="CG60" s="28"/>
      <c r="CH60" s="28"/>
      <c r="CI60" s="28"/>
      <c r="CJ60" s="28"/>
      <c r="CK60" s="35"/>
      <c r="CM60" s="44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52">
        <v>1</v>
      </c>
      <c r="DD60">
        <f t="shared" ref="DD60:DM60" si="118">$C$20/($C$21-$C$22*DC60)</f>
        <v>0.539293284322932</v>
      </c>
      <c r="DE60">
        <f t="shared" si="118"/>
        <v>0.4319681814909459</v>
      </c>
      <c r="DF60">
        <f t="shared" si="118"/>
        <v>0.41282900386486376</v>
      </c>
      <c r="DG60">
        <f t="shared" si="118"/>
        <v>0.4095927266858736</v>
      </c>
      <c r="DH60">
        <f t="shared" si="118"/>
        <v>0.40905050749740984</v>
      </c>
      <c r="DI60">
        <f t="shared" si="118"/>
        <v>0.40895980224407819</v>
      </c>
      <c r="DJ60">
        <f t="shared" si="118"/>
        <v>0.4089446325237156</v>
      </c>
      <c r="DK60">
        <f t="shared" si="118"/>
        <v>0.40894209562046063</v>
      </c>
      <c r="DL60">
        <f t="shared" si="118"/>
        <v>0.40894167136534132</v>
      </c>
      <c r="DM60" s="52">
        <f t="shared" si="118"/>
        <v>0.40894160041577399</v>
      </c>
      <c r="DN60" s="16"/>
      <c r="DO60" s="16"/>
      <c r="DP60" s="16"/>
      <c r="DQ60" s="16"/>
      <c r="DR60" s="16"/>
      <c r="DS60" s="28"/>
      <c r="DT60" s="28"/>
      <c r="DU60" s="28"/>
      <c r="DV60" s="28"/>
      <c r="DW60" s="28"/>
      <c r="DX60" s="28"/>
      <c r="DY60" s="28"/>
      <c r="DZ60" s="28"/>
      <c r="EA60" s="28"/>
      <c r="EB60" s="35"/>
      <c r="EC60" s="58">
        <f t="shared" si="22"/>
        <v>25</v>
      </c>
      <c r="ED60" s="44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52">
        <v>0</v>
      </c>
      <c r="EU60">
        <f t="shared" ref="EU60:EU84" si="119">(ET60*$C$22-BM60)/($C$21-$C$22*DC60)</f>
        <v>0</v>
      </c>
      <c r="EV60">
        <f t="shared" ref="EV60:EV84" si="120">(EU60*$C$22-BN60)/($C$21-$C$22*DD60)</f>
        <v>0</v>
      </c>
      <c r="EW60">
        <f t="shared" ref="EW60:EW84" si="121">(EV60*$C$22-BO60)/($C$21-$C$22*DE60)</f>
        <v>0</v>
      </c>
      <c r="EX60">
        <f t="shared" ref="EX60:EX84" si="122">(EW60*$C$22-BP60)/($C$21-$C$22*DF60)</f>
        <v>0</v>
      </c>
      <c r="EY60">
        <f t="shared" ref="EY60:EY84" si="123">(EX60*$C$22-BQ60)/($C$21-$C$22*DG60)</f>
        <v>0</v>
      </c>
      <c r="EZ60">
        <f t="shared" ref="EZ60:EZ84" si="124">(EY60*$C$22-BR60)/($C$21-$C$22*DH60)</f>
        <v>0</v>
      </c>
      <c r="FA60">
        <f t="shared" ref="FA60:FA84" si="125">(EZ60*$C$22-BS60)/($C$21-$C$22*DI60)</f>
        <v>0</v>
      </c>
      <c r="FB60">
        <f t="shared" ref="FB60:FB84" si="126">(FA60*$C$22-BT60)/($C$21-$C$22*DJ60)</f>
        <v>0</v>
      </c>
      <c r="FC60">
        <f t="shared" ref="FC60:FC84" si="127">(FB60*$C$22-BU60)/($C$21-$C$22*DK60)</f>
        <v>0</v>
      </c>
      <c r="FD60" s="52">
        <f t="shared" ref="FD60:FD84" si="128">(FC60*$C$22-BV60)/($C$21-$C$22*DL60)</f>
        <v>0</v>
      </c>
      <c r="FE60" s="16"/>
      <c r="FF60" s="16"/>
      <c r="FG60" s="16"/>
      <c r="FH60" s="16"/>
      <c r="FI60" s="16"/>
      <c r="FJ60" s="28"/>
      <c r="FK60" s="28"/>
      <c r="FL60" s="28"/>
      <c r="FM60" s="28"/>
      <c r="FN60" s="28"/>
      <c r="FO60" s="28"/>
      <c r="FP60" s="28"/>
      <c r="FQ60" s="28"/>
      <c r="FR60" s="28"/>
      <c r="FS60" s="35"/>
    </row>
    <row r="61" spans="5:175">
      <c r="E61" s="48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52">
        <f t="shared" si="106"/>
        <v>0</v>
      </c>
      <c r="V61">
        <f t="shared" si="106"/>
        <v>0</v>
      </c>
      <c r="W61">
        <f t="shared" si="106"/>
        <v>0</v>
      </c>
      <c r="X61">
        <f t="shared" si="106"/>
        <v>0</v>
      </c>
      <c r="Y61">
        <f t="shared" si="106"/>
        <v>0</v>
      </c>
      <c r="Z61">
        <f t="shared" si="106"/>
        <v>0</v>
      </c>
      <c r="AA61">
        <f t="shared" si="106"/>
        <v>0</v>
      </c>
      <c r="AB61">
        <f t="shared" si="106"/>
        <v>0</v>
      </c>
      <c r="AC61">
        <f t="shared" si="106"/>
        <v>0</v>
      </c>
      <c r="AD61">
        <f t="shared" si="106"/>
        <v>0</v>
      </c>
      <c r="AE61" s="52">
        <f t="shared" si="17"/>
        <v>0</v>
      </c>
      <c r="AF61" s="16"/>
      <c r="AG61" s="16"/>
      <c r="AH61" s="16"/>
      <c r="AI61" s="16"/>
      <c r="AJ61" s="16"/>
      <c r="AK61" s="28"/>
      <c r="AL61" s="28"/>
      <c r="AM61" s="28"/>
      <c r="AN61" s="28"/>
      <c r="AO61" s="28"/>
      <c r="AP61" s="28"/>
      <c r="AQ61" s="28"/>
      <c r="AR61" s="28"/>
      <c r="AS61" s="28"/>
      <c r="AT61" s="35"/>
      <c r="AU61" s="58">
        <f t="shared" si="18"/>
        <v>24</v>
      </c>
      <c r="AV61" s="4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50">
        <f t="shared" si="107"/>
        <v>0</v>
      </c>
      <c r="BM61">
        <f t="shared" si="108"/>
        <v>0</v>
      </c>
      <c r="BN61">
        <f t="shared" si="109"/>
        <v>0</v>
      </c>
      <c r="BO61">
        <f t="shared" si="110"/>
        <v>0</v>
      </c>
      <c r="BP61">
        <f t="shared" si="111"/>
        <v>0</v>
      </c>
      <c r="BQ61">
        <f t="shared" si="112"/>
        <v>0</v>
      </c>
      <c r="BR61">
        <f t="shared" si="113"/>
        <v>0</v>
      </c>
      <c r="BS61">
        <f t="shared" si="114"/>
        <v>0</v>
      </c>
      <c r="BT61">
        <f t="shared" si="115"/>
        <v>0</v>
      </c>
      <c r="BU61">
        <f t="shared" si="116"/>
        <v>0</v>
      </c>
      <c r="BV61" s="50">
        <f t="shared" si="117"/>
        <v>0</v>
      </c>
      <c r="BW61" s="16"/>
      <c r="BX61" s="16"/>
      <c r="BY61" s="16"/>
      <c r="BZ61" s="16"/>
      <c r="CA61" s="16"/>
      <c r="CB61" s="28"/>
      <c r="CC61" s="28"/>
      <c r="CD61" s="28"/>
      <c r="CE61" s="28"/>
      <c r="CF61" s="28"/>
      <c r="CG61" s="28"/>
      <c r="CH61" s="28"/>
      <c r="CI61" s="28"/>
      <c r="CJ61" s="28"/>
      <c r="CK61" s="35"/>
      <c r="CM61" s="44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52">
        <v>1</v>
      </c>
      <c r="DD61">
        <f t="shared" ref="DD61:DM61" si="129">$C$20/($C$21-$C$22*DC61)</f>
        <v>0.539293284322932</v>
      </c>
      <c r="DE61">
        <f t="shared" si="129"/>
        <v>0.4319681814909459</v>
      </c>
      <c r="DF61">
        <f t="shared" si="129"/>
        <v>0.41282900386486376</v>
      </c>
      <c r="DG61">
        <f t="shared" si="129"/>
        <v>0.4095927266858736</v>
      </c>
      <c r="DH61">
        <f t="shared" si="129"/>
        <v>0.40905050749740984</v>
      </c>
      <c r="DI61">
        <f t="shared" si="129"/>
        <v>0.40895980224407819</v>
      </c>
      <c r="DJ61">
        <f t="shared" si="129"/>
        <v>0.4089446325237156</v>
      </c>
      <c r="DK61">
        <f t="shared" si="129"/>
        <v>0.40894209562046063</v>
      </c>
      <c r="DL61">
        <f t="shared" si="129"/>
        <v>0.40894167136534132</v>
      </c>
      <c r="DM61" s="52">
        <f t="shared" si="129"/>
        <v>0.40894160041577399</v>
      </c>
      <c r="DN61" s="16"/>
      <c r="DO61" s="16"/>
      <c r="DP61" s="16"/>
      <c r="DQ61" s="16"/>
      <c r="DR61" s="16"/>
      <c r="DS61" s="28"/>
      <c r="DT61" s="28"/>
      <c r="DU61" s="28"/>
      <c r="DV61" s="28"/>
      <c r="DW61" s="28"/>
      <c r="DX61" s="28"/>
      <c r="DY61" s="28"/>
      <c r="DZ61" s="28"/>
      <c r="EA61" s="28"/>
      <c r="EB61" s="35"/>
      <c r="EC61" s="58">
        <f t="shared" si="22"/>
        <v>24</v>
      </c>
      <c r="ED61" s="44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52">
        <v>0</v>
      </c>
      <c r="EU61">
        <f t="shared" si="119"/>
        <v>0</v>
      </c>
      <c r="EV61">
        <f t="shared" si="120"/>
        <v>0</v>
      </c>
      <c r="EW61">
        <f t="shared" si="121"/>
        <v>0</v>
      </c>
      <c r="EX61">
        <f t="shared" si="122"/>
        <v>0</v>
      </c>
      <c r="EY61">
        <f t="shared" si="123"/>
        <v>0</v>
      </c>
      <c r="EZ61">
        <f t="shared" si="124"/>
        <v>0</v>
      </c>
      <c r="FA61">
        <f t="shared" si="125"/>
        <v>0</v>
      </c>
      <c r="FB61">
        <f t="shared" si="126"/>
        <v>0</v>
      </c>
      <c r="FC61">
        <f t="shared" si="127"/>
        <v>0</v>
      </c>
      <c r="FD61" s="52">
        <f t="shared" si="128"/>
        <v>0</v>
      </c>
      <c r="FE61" s="16"/>
      <c r="FF61" s="16"/>
      <c r="FG61" s="16"/>
      <c r="FH61" s="16"/>
      <c r="FI61" s="16"/>
      <c r="FJ61" s="28"/>
      <c r="FK61" s="28"/>
      <c r="FL61" s="28"/>
      <c r="FM61" s="28"/>
      <c r="FN61" s="28"/>
      <c r="FO61" s="28"/>
      <c r="FP61" s="28"/>
      <c r="FQ61" s="28"/>
      <c r="FR61" s="28"/>
      <c r="FS61" s="35"/>
    </row>
    <row r="62" spans="5:175">
      <c r="E62" s="48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52">
        <f t="shared" si="106"/>
        <v>0</v>
      </c>
      <c r="V62">
        <f t="shared" si="106"/>
        <v>0</v>
      </c>
      <c r="W62">
        <f t="shared" si="106"/>
        <v>0</v>
      </c>
      <c r="X62">
        <f t="shared" si="106"/>
        <v>0</v>
      </c>
      <c r="Y62">
        <f t="shared" si="106"/>
        <v>0</v>
      </c>
      <c r="Z62">
        <f t="shared" si="106"/>
        <v>0</v>
      </c>
      <c r="AA62">
        <f t="shared" si="106"/>
        <v>0</v>
      </c>
      <c r="AB62">
        <f t="shared" si="106"/>
        <v>0</v>
      </c>
      <c r="AC62">
        <f t="shared" si="106"/>
        <v>0</v>
      </c>
      <c r="AD62">
        <f t="shared" si="106"/>
        <v>0</v>
      </c>
      <c r="AE62" s="52">
        <f t="shared" si="17"/>
        <v>0</v>
      </c>
      <c r="AF62" s="16"/>
      <c r="AG62" s="16"/>
      <c r="AH62" s="16"/>
      <c r="AI62" s="16"/>
      <c r="AJ62" s="16"/>
      <c r="AK62" s="28"/>
      <c r="AL62" s="28"/>
      <c r="AM62" s="28"/>
      <c r="AN62" s="28"/>
      <c r="AO62" s="28"/>
      <c r="AP62" s="28"/>
      <c r="AQ62" s="28"/>
      <c r="AR62" s="28"/>
      <c r="AS62" s="28"/>
      <c r="AT62" s="35"/>
      <c r="AU62" s="58">
        <f t="shared" si="18"/>
        <v>23</v>
      </c>
      <c r="AV62" s="4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50">
        <f t="shared" si="107"/>
        <v>0</v>
      </c>
      <c r="BM62">
        <f t="shared" si="108"/>
        <v>0</v>
      </c>
      <c r="BN62">
        <f t="shared" si="109"/>
        <v>0</v>
      </c>
      <c r="BO62">
        <f t="shared" si="110"/>
        <v>0</v>
      </c>
      <c r="BP62">
        <f t="shared" si="111"/>
        <v>0</v>
      </c>
      <c r="BQ62">
        <f t="shared" si="112"/>
        <v>0</v>
      </c>
      <c r="BR62">
        <f t="shared" si="113"/>
        <v>0</v>
      </c>
      <c r="BS62">
        <f t="shared" si="114"/>
        <v>0</v>
      </c>
      <c r="BT62">
        <f t="shared" si="115"/>
        <v>0</v>
      </c>
      <c r="BU62">
        <f t="shared" si="116"/>
        <v>0</v>
      </c>
      <c r="BV62" s="50">
        <f t="shared" si="117"/>
        <v>0</v>
      </c>
      <c r="BW62" s="16"/>
      <c r="BX62" s="16"/>
      <c r="BY62" s="16"/>
      <c r="BZ62" s="16"/>
      <c r="CA62" s="16"/>
      <c r="CB62" s="28"/>
      <c r="CC62" s="28"/>
      <c r="CD62" s="28"/>
      <c r="CE62" s="28"/>
      <c r="CF62" s="28"/>
      <c r="CG62" s="28"/>
      <c r="CH62" s="28"/>
      <c r="CI62" s="28"/>
      <c r="CJ62" s="28"/>
      <c r="CK62" s="35"/>
      <c r="CM62" s="44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52">
        <v>1</v>
      </c>
      <c r="DD62">
        <f t="shared" ref="DD62:DM62" si="130">$C$20/($C$21-$C$22*DC62)</f>
        <v>0.539293284322932</v>
      </c>
      <c r="DE62">
        <f t="shared" si="130"/>
        <v>0.4319681814909459</v>
      </c>
      <c r="DF62">
        <f t="shared" si="130"/>
        <v>0.41282900386486376</v>
      </c>
      <c r="DG62">
        <f t="shared" si="130"/>
        <v>0.4095927266858736</v>
      </c>
      <c r="DH62">
        <f t="shared" si="130"/>
        <v>0.40905050749740984</v>
      </c>
      <c r="DI62">
        <f t="shared" si="130"/>
        <v>0.40895980224407819</v>
      </c>
      <c r="DJ62">
        <f t="shared" si="130"/>
        <v>0.4089446325237156</v>
      </c>
      <c r="DK62">
        <f t="shared" si="130"/>
        <v>0.40894209562046063</v>
      </c>
      <c r="DL62">
        <f t="shared" si="130"/>
        <v>0.40894167136534132</v>
      </c>
      <c r="DM62" s="52">
        <f t="shared" si="130"/>
        <v>0.40894160041577399</v>
      </c>
      <c r="DN62" s="16"/>
      <c r="DO62" s="16"/>
      <c r="DP62" s="16"/>
      <c r="DQ62" s="16"/>
      <c r="DR62" s="16"/>
      <c r="DS62" s="28"/>
      <c r="DT62" s="28"/>
      <c r="DU62" s="28"/>
      <c r="DV62" s="28"/>
      <c r="DW62" s="28"/>
      <c r="DX62" s="28"/>
      <c r="DY62" s="28"/>
      <c r="DZ62" s="28"/>
      <c r="EA62" s="28"/>
      <c r="EB62" s="35"/>
      <c r="EC62" s="58">
        <f t="shared" si="22"/>
        <v>23</v>
      </c>
      <c r="ED62" s="44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52">
        <v>0</v>
      </c>
      <c r="EU62">
        <f t="shared" si="119"/>
        <v>0</v>
      </c>
      <c r="EV62">
        <f t="shared" si="120"/>
        <v>0</v>
      </c>
      <c r="EW62">
        <f t="shared" si="121"/>
        <v>0</v>
      </c>
      <c r="EX62">
        <f t="shared" si="122"/>
        <v>0</v>
      </c>
      <c r="EY62">
        <f t="shared" si="123"/>
        <v>0</v>
      </c>
      <c r="EZ62">
        <f t="shared" si="124"/>
        <v>0</v>
      </c>
      <c r="FA62">
        <f t="shared" si="125"/>
        <v>0</v>
      </c>
      <c r="FB62">
        <f t="shared" si="126"/>
        <v>0</v>
      </c>
      <c r="FC62">
        <f t="shared" si="127"/>
        <v>0</v>
      </c>
      <c r="FD62" s="52">
        <f t="shared" si="128"/>
        <v>0</v>
      </c>
      <c r="FE62" s="16"/>
      <c r="FF62" s="16"/>
      <c r="FG62" s="16"/>
      <c r="FH62" s="16"/>
      <c r="FI62" s="16"/>
      <c r="FJ62" s="28"/>
      <c r="FK62" s="28"/>
      <c r="FL62" s="28"/>
      <c r="FM62" s="28"/>
      <c r="FN62" s="28"/>
      <c r="FO62" s="28"/>
      <c r="FP62" s="28"/>
      <c r="FQ62" s="28"/>
      <c r="FR62" s="28"/>
      <c r="FS62" s="35"/>
    </row>
    <row r="63" spans="5:175">
      <c r="E63" s="48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52">
        <f t="shared" si="106"/>
        <v>0</v>
      </c>
      <c r="V63">
        <f t="shared" si="106"/>
        <v>0</v>
      </c>
      <c r="W63">
        <f t="shared" si="106"/>
        <v>0</v>
      </c>
      <c r="X63">
        <f t="shared" si="106"/>
        <v>0</v>
      </c>
      <c r="Y63">
        <f t="shared" si="106"/>
        <v>0</v>
      </c>
      <c r="Z63">
        <f t="shared" si="106"/>
        <v>0</v>
      </c>
      <c r="AA63">
        <f t="shared" si="106"/>
        <v>0</v>
      </c>
      <c r="AB63">
        <f t="shared" si="106"/>
        <v>0</v>
      </c>
      <c r="AC63">
        <f t="shared" si="106"/>
        <v>0</v>
      </c>
      <c r="AD63">
        <f t="shared" si="106"/>
        <v>0</v>
      </c>
      <c r="AE63" s="52">
        <f t="shared" si="17"/>
        <v>0</v>
      </c>
      <c r="AF63" s="16"/>
      <c r="AG63" s="16"/>
      <c r="AH63" s="16"/>
      <c r="AI63" s="16"/>
      <c r="AJ63" s="16"/>
      <c r="AK63" s="28"/>
      <c r="AL63" s="28"/>
      <c r="AM63" s="28"/>
      <c r="AN63" s="28"/>
      <c r="AO63" s="28"/>
      <c r="AP63" s="28"/>
      <c r="AQ63" s="28"/>
      <c r="AR63" s="28"/>
      <c r="AS63" s="28"/>
      <c r="AT63" s="35"/>
      <c r="AU63" s="58">
        <f t="shared" si="18"/>
        <v>22</v>
      </c>
      <c r="AV63" s="4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50">
        <f t="shared" si="107"/>
        <v>0</v>
      </c>
      <c r="BM63">
        <f t="shared" si="108"/>
        <v>0</v>
      </c>
      <c r="BN63">
        <f t="shared" si="109"/>
        <v>0</v>
      </c>
      <c r="BO63">
        <f t="shared" si="110"/>
        <v>0</v>
      </c>
      <c r="BP63">
        <f t="shared" si="111"/>
        <v>0</v>
      </c>
      <c r="BQ63">
        <f t="shared" si="112"/>
        <v>0</v>
      </c>
      <c r="BR63">
        <f t="shared" si="113"/>
        <v>0</v>
      </c>
      <c r="BS63">
        <f t="shared" si="114"/>
        <v>0</v>
      </c>
      <c r="BT63">
        <f t="shared" si="115"/>
        <v>0</v>
      </c>
      <c r="BU63">
        <f t="shared" si="116"/>
        <v>0</v>
      </c>
      <c r="BV63" s="50">
        <f t="shared" si="117"/>
        <v>0</v>
      </c>
      <c r="BW63" s="16"/>
      <c r="BX63" s="16"/>
      <c r="BY63" s="16"/>
      <c r="BZ63" s="16"/>
      <c r="CA63" s="16"/>
      <c r="CB63" s="28"/>
      <c r="CC63" s="28"/>
      <c r="CD63" s="28"/>
      <c r="CE63" s="28"/>
      <c r="CF63" s="28"/>
      <c r="CG63" s="28"/>
      <c r="CH63" s="28"/>
      <c r="CI63" s="28"/>
      <c r="CJ63" s="28"/>
      <c r="CK63" s="35"/>
      <c r="CM63" s="44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52">
        <v>1</v>
      </c>
      <c r="DD63">
        <f t="shared" ref="DD63:DM63" si="131">$C$20/($C$21-$C$22*DC63)</f>
        <v>0.539293284322932</v>
      </c>
      <c r="DE63">
        <f t="shared" si="131"/>
        <v>0.4319681814909459</v>
      </c>
      <c r="DF63">
        <f t="shared" si="131"/>
        <v>0.41282900386486376</v>
      </c>
      <c r="DG63">
        <f t="shared" si="131"/>
        <v>0.4095927266858736</v>
      </c>
      <c r="DH63">
        <f t="shared" si="131"/>
        <v>0.40905050749740984</v>
      </c>
      <c r="DI63">
        <f t="shared" si="131"/>
        <v>0.40895980224407819</v>
      </c>
      <c r="DJ63">
        <f t="shared" si="131"/>
        <v>0.4089446325237156</v>
      </c>
      <c r="DK63">
        <f t="shared" si="131"/>
        <v>0.40894209562046063</v>
      </c>
      <c r="DL63">
        <f t="shared" si="131"/>
        <v>0.40894167136534132</v>
      </c>
      <c r="DM63" s="52">
        <f t="shared" si="131"/>
        <v>0.40894160041577399</v>
      </c>
      <c r="DN63" s="16"/>
      <c r="DO63" s="16"/>
      <c r="DP63" s="16"/>
      <c r="DQ63" s="16"/>
      <c r="DR63" s="16"/>
      <c r="DS63" s="28"/>
      <c r="DT63" s="28"/>
      <c r="DU63" s="28"/>
      <c r="DV63" s="28"/>
      <c r="DW63" s="28"/>
      <c r="DX63" s="28"/>
      <c r="DY63" s="28"/>
      <c r="DZ63" s="28"/>
      <c r="EA63" s="28"/>
      <c r="EB63" s="35"/>
      <c r="EC63" s="58">
        <f t="shared" si="22"/>
        <v>22</v>
      </c>
      <c r="ED63" s="44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52">
        <v>0</v>
      </c>
      <c r="EU63">
        <f t="shared" si="119"/>
        <v>0</v>
      </c>
      <c r="EV63">
        <f t="shared" si="120"/>
        <v>0</v>
      </c>
      <c r="EW63">
        <f t="shared" si="121"/>
        <v>0</v>
      </c>
      <c r="EX63">
        <f t="shared" si="122"/>
        <v>0</v>
      </c>
      <c r="EY63">
        <f t="shared" si="123"/>
        <v>0</v>
      </c>
      <c r="EZ63">
        <f t="shared" si="124"/>
        <v>0</v>
      </c>
      <c r="FA63">
        <f t="shared" si="125"/>
        <v>0</v>
      </c>
      <c r="FB63">
        <f t="shared" si="126"/>
        <v>0</v>
      </c>
      <c r="FC63">
        <f t="shared" si="127"/>
        <v>0</v>
      </c>
      <c r="FD63" s="52">
        <f t="shared" si="128"/>
        <v>0</v>
      </c>
      <c r="FE63" s="16"/>
      <c r="FF63" s="16"/>
      <c r="FG63" s="16"/>
      <c r="FH63" s="16"/>
      <c r="FI63" s="16"/>
      <c r="FJ63" s="28"/>
      <c r="FK63" s="28"/>
      <c r="FL63" s="28"/>
      <c r="FM63" s="28"/>
      <c r="FN63" s="28"/>
      <c r="FO63" s="28"/>
      <c r="FP63" s="28"/>
      <c r="FQ63" s="28"/>
      <c r="FR63" s="28"/>
      <c r="FS63" s="35"/>
    </row>
    <row r="64" spans="5:175">
      <c r="E64" s="48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52">
        <f t="shared" si="106"/>
        <v>0</v>
      </c>
      <c r="V64">
        <f t="shared" si="106"/>
        <v>0</v>
      </c>
      <c r="W64">
        <f t="shared" si="106"/>
        <v>0</v>
      </c>
      <c r="X64">
        <f t="shared" si="106"/>
        <v>0</v>
      </c>
      <c r="Y64">
        <f t="shared" si="106"/>
        <v>0</v>
      </c>
      <c r="Z64">
        <f t="shared" si="106"/>
        <v>0</v>
      </c>
      <c r="AA64">
        <f t="shared" si="106"/>
        <v>0</v>
      </c>
      <c r="AB64">
        <f t="shared" si="106"/>
        <v>0</v>
      </c>
      <c r="AC64">
        <f t="shared" si="106"/>
        <v>0</v>
      </c>
      <c r="AD64">
        <f t="shared" si="106"/>
        <v>0</v>
      </c>
      <c r="AE64" s="52">
        <f t="shared" si="17"/>
        <v>0</v>
      </c>
      <c r="AF64" s="16"/>
      <c r="AG64" s="16"/>
      <c r="AH64" s="16"/>
      <c r="AI64" s="16"/>
      <c r="AJ64" s="16"/>
      <c r="AK64" s="28"/>
      <c r="AL64" s="28"/>
      <c r="AM64" s="28"/>
      <c r="AN64" s="28"/>
      <c r="AO64" s="28"/>
      <c r="AP64" s="28"/>
      <c r="AQ64" s="28"/>
      <c r="AR64" s="28"/>
      <c r="AS64" s="28"/>
      <c r="AT64" s="35"/>
      <c r="AU64" s="58">
        <f t="shared" si="18"/>
        <v>21</v>
      </c>
      <c r="AV64" s="4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50">
        <f t="shared" si="107"/>
        <v>0</v>
      </c>
      <c r="BM64">
        <f t="shared" si="108"/>
        <v>0</v>
      </c>
      <c r="BN64">
        <f t="shared" si="109"/>
        <v>0</v>
      </c>
      <c r="BO64">
        <f t="shared" si="110"/>
        <v>0</v>
      </c>
      <c r="BP64">
        <f t="shared" si="111"/>
        <v>0</v>
      </c>
      <c r="BQ64">
        <f t="shared" si="112"/>
        <v>0</v>
      </c>
      <c r="BR64">
        <f t="shared" si="113"/>
        <v>0</v>
      </c>
      <c r="BS64">
        <f t="shared" si="114"/>
        <v>0</v>
      </c>
      <c r="BT64">
        <f t="shared" si="115"/>
        <v>0</v>
      </c>
      <c r="BU64">
        <f t="shared" si="116"/>
        <v>0</v>
      </c>
      <c r="BV64" s="50">
        <f t="shared" si="117"/>
        <v>0</v>
      </c>
      <c r="BW64" s="16"/>
      <c r="BX64" s="16"/>
      <c r="BY64" s="16"/>
      <c r="BZ64" s="16"/>
      <c r="CA64" s="16"/>
      <c r="CB64" s="28"/>
      <c r="CC64" s="28"/>
      <c r="CD64" s="28"/>
      <c r="CE64" s="28"/>
      <c r="CF64" s="28"/>
      <c r="CG64" s="28"/>
      <c r="CH64" s="28"/>
      <c r="CI64" s="28"/>
      <c r="CJ64" s="28"/>
      <c r="CK64" s="35"/>
      <c r="CM64" s="44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52">
        <v>1</v>
      </c>
      <c r="DD64">
        <f t="shared" ref="DD64:DM64" si="132">$C$20/($C$21-$C$22*DC64)</f>
        <v>0.539293284322932</v>
      </c>
      <c r="DE64">
        <f t="shared" si="132"/>
        <v>0.4319681814909459</v>
      </c>
      <c r="DF64">
        <f t="shared" si="132"/>
        <v>0.41282900386486376</v>
      </c>
      <c r="DG64">
        <f t="shared" si="132"/>
        <v>0.4095927266858736</v>
      </c>
      <c r="DH64">
        <f t="shared" si="132"/>
        <v>0.40905050749740984</v>
      </c>
      <c r="DI64">
        <f t="shared" si="132"/>
        <v>0.40895980224407819</v>
      </c>
      <c r="DJ64">
        <f t="shared" si="132"/>
        <v>0.4089446325237156</v>
      </c>
      <c r="DK64">
        <f t="shared" si="132"/>
        <v>0.40894209562046063</v>
      </c>
      <c r="DL64">
        <f t="shared" si="132"/>
        <v>0.40894167136534132</v>
      </c>
      <c r="DM64" s="52">
        <f t="shared" si="132"/>
        <v>0.40894160041577399</v>
      </c>
      <c r="DN64" s="16"/>
      <c r="DO64" s="16"/>
      <c r="DP64" s="16"/>
      <c r="DQ64" s="16"/>
      <c r="DR64" s="16"/>
      <c r="DS64" s="28"/>
      <c r="DT64" s="28"/>
      <c r="DU64" s="28"/>
      <c r="DV64" s="28"/>
      <c r="DW64" s="28"/>
      <c r="DX64" s="28"/>
      <c r="DY64" s="28"/>
      <c r="DZ64" s="28"/>
      <c r="EA64" s="28"/>
      <c r="EB64" s="35"/>
      <c r="EC64" s="58">
        <f t="shared" si="22"/>
        <v>21</v>
      </c>
      <c r="ED64" s="44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52">
        <v>0</v>
      </c>
      <c r="EU64">
        <f t="shared" si="119"/>
        <v>0</v>
      </c>
      <c r="EV64">
        <f t="shared" si="120"/>
        <v>0</v>
      </c>
      <c r="EW64">
        <f t="shared" si="121"/>
        <v>0</v>
      </c>
      <c r="EX64">
        <f t="shared" si="122"/>
        <v>0</v>
      </c>
      <c r="EY64">
        <f t="shared" si="123"/>
        <v>0</v>
      </c>
      <c r="EZ64">
        <f t="shared" si="124"/>
        <v>0</v>
      </c>
      <c r="FA64">
        <f t="shared" si="125"/>
        <v>0</v>
      </c>
      <c r="FB64">
        <f t="shared" si="126"/>
        <v>0</v>
      </c>
      <c r="FC64">
        <f t="shared" si="127"/>
        <v>0</v>
      </c>
      <c r="FD64" s="52">
        <f t="shared" si="128"/>
        <v>0</v>
      </c>
      <c r="FE64" s="16"/>
      <c r="FF64" s="16"/>
      <c r="FG64" s="16"/>
      <c r="FH64" s="16"/>
      <c r="FI64" s="16"/>
      <c r="FJ64" s="28"/>
      <c r="FK64" s="28"/>
      <c r="FL64" s="28"/>
      <c r="FM64" s="28"/>
      <c r="FN64" s="28"/>
      <c r="FO64" s="28"/>
      <c r="FP64" s="28"/>
      <c r="FQ64" s="28"/>
      <c r="FR64" s="28"/>
      <c r="FS64" s="35"/>
    </row>
    <row r="65" spans="5:175">
      <c r="E65" s="48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52">
        <f t="shared" si="106"/>
        <v>0</v>
      </c>
      <c r="V65">
        <f t="shared" si="106"/>
        <v>0</v>
      </c>
      <c r="W65">
        <f t="shared" si="106"/>
        <v>0</v>
      </c>
      <c r="X65">
        <f t="shared" si="106"/>
        <v>0</v>
      </c>
      <c r="Y65">
        <f t="shared" si="106"/>
        <v>0</v>
      </c>
      <c r="Z65">
        <f t="shared" si="106"/>
        <v>0</v>
      </c>
      <c r="AA65">
        <f t="shared" si="106"/>
        <v>0</v>
      </c>
      <c r="AB65">
        <f t="shared" si="106"/>
        <v>0</v>
      </c>
      <c r="AC65">
        <f t="shared" si="106"/>
        <v>0</v>
      </c>
      <c r="AD65">
        <f t="shared" si="106"/>
        <v>0</v>
      </c>
      <c r="AE65" s="52">
        <f t="shared" si="17"/>
        <v>0</v>
      </c>
      <c r="AF65" s="16"/>
      <c r="AG65" s="16"/>
      <c r="AH65" s="16"/>
      <c r="AI65" s="16"/>
      <c r="AJ65" s="16"/>
      <c r="AK65" s="28"/>
      <c r="AL65" s="28"/>
      <c r="AM65" s="28"/>
      <c r="AN65" s="28"/>
      <c r="AO65" s="28"/>
      <c r="AP65" s="28"/>
      <c r="AQ65" s="28"/>
      <c r="AR65" s="28"/>
      <c r="AS65" s="28"/>
      <c r="AT65" s="35"/>
      <c r="AU65" s="58">
        <f t="shared" si="18"/>
        <v>20</v>
      </c>
      <c r="AV65" s="4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50">
        <f t="shared" si="107"/>
        <v>0</v>
      </c>
      <c r="BM65">
        <f t="shared" si="108"/>
        <v>0</v>
      </c>
      <c r="BN65">
        <f t="shared" si="109"/>
        <v>0</v>
      </c>
      <c r="BO65">
        <f t="shared" si="110"/>
        <v>0</v>
      </c>
      <c r="BP65">
        <f t="shared" si="111"/>
        <v>0</v>
      </c>
      <c r="BQ65">
        <f t="shared" si="112"/>
        <v>0</v>
      </c>
      <c r="BR65">
        <f t="shared" si="113"/>
        <v>0</v>
      </c>
      <c r="BS65">
        <f t="shared" si="114"/>
        <v>0</v>
      </c>
      <c r="BT65">
        <f t="shared" si="115"/>
        <v>0</v>
      </c>
      <c r="BU65">
        <f t="shared" si="116"/>
        <v>0</v>
      </c>
      <c r="BV65" s="50">
        <f t="shared" si="117"/>
        <v>0</v>
      </c>
      <c r="BW65" s="16"/>
      <c r="BX65" s="16"/>
      <c r="BY65" s="16"/>
      <c r="BZ65" s="16"/>
      <c r="CA65" s="16"/>
      <c r="CB65" s="28"/>
      <c r="CC65" s="28"/>
      <c r="CD65" s="28"/>
      <c r="CE65" s="28"/>
      <c r="CF65" s="28"/>
      <c r="CG65" s="28"/>
      <c r="CH65" s="28"/>
      <c r="CI65" s="28"/>
      <c r="CJ65" s="28"/>
      <c r="CK65" s="35"/>
      <c r="CM65" s="44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52">
        <v>1</v>
      </c>
      <c r="DD65">
        <f t="shared" ref="DD65:DM65" si="133">$C$20/($C$21-$C$22*DC65)</f>
        <v>0.539293284322932</v>
      </c>
      <c r="DE65">
        <f t="shared" si="133"/>
        <v>0.4319681814909459</v>
      </c>
      <c r="DF65">
        <f t="shared" si="133"/>
        <v>0.41282900386486376</v>
      </c>
      <c r="DG65">
        <f t="shared" si="133"/>
        <v>0.4095927266858736</v>
      </c>
      <c r="DH65">
        <f t="shared" si="133"/>
        <v>0.40905050749740984</v>
      </c>
      <c r="DI65">
        <f t="shared" si="133"/>
        <v>0.40895980224407819</v>
      </c>
      <c r="DJ65">
        <f t="shared" si="133"/>
        <v>0.4089446325237156</v>
      </c>
      <c r="DK65">
        <f t="shared" si="133"/>
        <v>0.40894209562046063</v>
      </c>
      <c r="DL65">
        <f t="shared" si="133"/>
        <v>0.40894167136534132</v>
      </c>
      <c r="DM65" s="52">
        <f t="shared" si="133"/>
        <v>0.40894160041577399</v>
      </c>
      <c r="DN65" s="16"/>
      <c r="DO65" s="16"/>
      <c r="DP65" s="16"/>
      <c r="DQ65" s="16"/>
      <c r="DR65" s="16"/>
      <c r="DS65" s="28"/>
      <c r="DT65" s="28"/>
      <c r="DU65" s="28"/>
      <c r="DV65" s="28"/>
      <c r="DW65" s="28"/>
      <c r="DX65" s="28"/>
      <c r="DY65" s="28"/>
      <c r="DZ65" s="28"/>
      <c r="EA65" s="28"/>
      <c r="EB65" s="35"/>
      <c r="EC65" s="58">
        <f t="shared" si="22"/>
        <v>20</v>
      </c>
      <c r="ED65" s="44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52">
        <v>0</v>
      </c>
      <c r="EU65">
        <f t="shared" si="119"/>
        <v>0</v>
      </c>
      <c r="EV65">
        <f t="shared" si="120"/>
        <v>0</v>
      </c>
      <c r="EW65">
        <f t="shared" si="121"/>
        <v>0</v>
      </c>
      <c r="EX65">
        <f t="shared" si="122"/>
        <v>0</v>
      </c>
      <c r="EY65">
        <f t="shared" si="123"/>
        <v>0</v>
      </c>
      <c r="EZ65">
        <f t="shared" si="124"/>
        <v>0</v>
      </c>
      <c r="FA65">
        <f t="shared" si="125"/>
        <v>0</v>
      </c>
      <c r="FB65">
        <f t="shared" si="126"/>
        <v>0</v>
      </c>
      <c r="FC65">
        <f t="shared" si="127"/>
        <v>0</v>
      </c>
      <c r="FD65" s="52">
        <f t="shared" si="128"/>
        <v>0</v>
      </c>
      <c r="FE65" s="16"/>
      <c r="FF65" s="16"/>
      <c r="FG65" s="16"/>
      <c r="FH65" s="16"/>
      <c r="FI65" s="16"/>
      <c r="FJ65" s="28"/>
      <c r="FK65" s="28"/>
      <c r="FL65" s="28"/>
      <c r="FM65" s="28"/>
      <c r="FN65" s="28"/>
      <c r="FO65" s="28"/>
      <c r="FP65" s="28"/>
      <c r="FQ65" s="28"/>
      <c r="FR65" s="28"/>
      <c r="FS65" s="35"/>
    </row>
    <row r="66" spans="5:175">
      <c r="E66" s="48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52">
        <f t="shared" si="106"/>
        <v>0</v>
      </c>
      <c r="V66">
        <f t="shared" si="106"/>
        <v>0</v>
      </c>
      <c r="W66">
        <f t="shared" si="106"/>
        <v>0</v>
      </c>
      <c r="X66">
        <f t="shared" si="106"/>
        <v>0</v>
      </c>
      <c r="Y66">
        <f t="shared" si="106"/>
        <v>0</v>
      </c>
      <c r="Z66">
        <f t="shared" si="106"/>
        <v>0</v>
      </c>
      <c r="AA66">
        <f t="shared" si="106"/>
        <v>0</v>
      </c>
      <c r="AB66">
        <f t="shared" si="106"/>
        <v>0</v>
      </c>
      <c r="AC66">
        <f t="shared" si="106"/>
        <v>0</v>
      </c>
      <c r="AD66">
        <f t="shared" si="106"/>
        <v>0</v>
      </c>
      <c r="AE66" s="52">
        <f t="shared" si="17"/>
        <v>0</v>
      </c>
      <c r="AF66" s="16"/>
      <c r="AG66" s="16"/>
      <c r="AH66" s="16"/>
      <c r="AI66" s="16"/>
      <c r="AJ66" s="16"/>
      <c r="AK66" s="28"/>
      <c r="AL66" s="28"/>
      <c r="AM66" s="28"/>
      <c r="AN66" s="28"/>
      <c r="AO66" s="28"/>
      <c r="AP66" s="28"/>
      <c r="AQ66" s="28"/>
      <c r="AR66" s="28"/>
      <c r="AS66" s="28"/>
      <c r="AT66" s="35"/>
      <c r="AU66" s="58">
        <f t="shared" si="18"/>
        <v>19</v>
      </c>
      <c r="AV66" s="4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50">
        <f t="shared" si="107"/>
        <v>0</v>
      </c>
      <c r="BM66">
        <f t="shared" si="108"/>
        <v>0</v>
      </c>
      <c r="BN66">
        <f t="shared" si="109"/>
        <v>0</v>
      </c>
      <c r="BO66">
        <f t="shared" si="110"/>
        <v>0</v>
      </c>
      <c r="BP66">
        <f t="shared" si="111"/>
        <v>0</v>
      </c>
      <c r="BQ66">
        <f t="shared" si="112"/>
        <v>0</v>
      </c>
      <c r="BR66">
        <f t="shared" si="113"/>
        <v>0</v>
      </c>
      <c r="BS66">
        <f t="shared" si="114"/>
        <v>0</v>
      </c>
      <c r="BT66">
        <f t="shared" si="115"/>
        <v>0</v>
      </c>
      <c r="BU66">
        <f t="shared" si="116"/>
        <v>0</v>
      </c>
      <c r="BV66" s="50">
        <f t="shared" si="117"/>
        <v>0</v>
      </c>
      <c r="BW66" s="16"/>
      <c r="BX66" s="16"/>
      <c r="BY66" s="16"/>
      <c r="BZ66" s="16"/>
      <c r="CA66" s="16"/>
      <c r="CB66" s="28"/>
      <c r="CC66" s="28"/>
      <c r="CD66" s="28"/>
      <c r="CE66" s="28"/>
      <c r="CF66" s="28"/>
      <c r="CG66" s="28"/>
      <c r="CH66" s="28"/>
      <c r="CI66" s="28"/>
      <c r="CJ66" s="28"/>
      <c r="CK66" s="35"/>
      <c r="CM66" s="44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52">
        <v>1</v>
      </c>
      <c r="DD66">
        <f t="shared" ref="DD66:DM66" si="134">$C$20/($C$21-$C$22*DC66)</f>
        <v>0.539293284322932</v>
      </c>
      <c r="DE66">
        <f t="shared" si="134"/>
        <v>0.4319681814909459</v>
      </c>
      <c r="DF66">
        <f t="shared" si="134"/>
        <v>0.41282900386486376</v>
      </c>
      <c r="DG66">
        <f t="shared" si="134"/>
        <v>0.4095927266858736</v>
      </c>
      <c r="DH66">
        <f t="shared" si="134"/>
        <v>0.40905050749740984</v>
      </c>
      <c r="DI66">
        <f t="shared" si="134"/>
        <v>0.40895980224407819</v>
      </c>
      <c r="DJ66">
        <f t="shared" si="134"/>
        <v>0.4089446325237156</v>
      </c>
      <c r="DK66">
        <f t="shared" si="134"/>
        <v>0.40894209562046063</v>
      </c>
      <c r="DL66">
        <f t="shared" si="134"/>
        <v>0.40894167136534132</v>
      </c>
      <c r="DM66" s="52">
        <f t="shared" si="134"/>
        <v>0.40894160041577399</v>
      </c>
      <c r="DN66" s="16"/>
      <c r="DO66" s="16"/>
      <c r="DP66" s="16"/>
      <c r="DQ66" s="16"/>
      <c r="DR66" s="16"/>
      <c r="DS66" s="28"/>
      <c r="DT66" s="28"/>
      <c r="DU66" s="28"/>
      <c r="DV66" s="28"/>
      <c r="DW66" s="28"/>
      <c r="DX66" s="28"/>
      <c r="DY66" s="28"/>
      <c r="DZ66" s="28"/>
      <c r="EA66" s="28"/>
      <c r="EB66" s="35"/>
      <c r="EC66" s="58">
        <f t="shared" si="22"/>
        <v>19</v>
      </c>
      <c r="ED66" s="44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52">
        <v>0</v>
      </c>
      <c r="EU66">
        <f t="shared" si="119"/>
        <v>0</v>
      </c>
      <c r="EV66">
        <f t="shared" si="120"/>
        <v>0</v>
      </c>
      <c r="EW66">
        <f t="shared" si="121"/>
        <v>0</v>
      </c>
      <c r="EX66">
        <f t="shared" si="122"/>
        <v>0</v>
      </c>
      <c r="EY66">
        <f t="shared" si="123"/>
        <v>0</v>
      </c>
      <c r="EZ66">
        <f t="shared" si="124"/>
        <v>0</v>
      </c>
      <c r="FA66">
        <f t="shared" si="125"/>
        <v>0</v>
      </c>
      <c r="FB66">
        <f t="shared" si="126"/>
        <v>0</v>
      </c>
      <c r="FC66">
        <f t="shared" si="127"/>
        <v>0</v>
      </c>
      <c r="FD66" s="52">
        <f t="shared" si="128"/>
        <v>0</v>
      </c>
      <c r="FE66" s="16"/>
      <c r="FF66" s="16"/>
      <c r="FG66" s="16"/>
      <c r="FH66" s="16"/>
      <c r="FI66" s="16"/>
      <c r="FJ66" s="28"/>
      <c r="FK66" s="28"/>
      <c r="FL66" s="28"/>
      <c r="FM66" s="28"/>
      <c r="FN66" s="28"/>
      <c r="FO66" s="28"/>
      <c r="FP66" s="28"/>
      <c r="FQ66" s="28"/>
      <c r="FR66" s="28"/>
      <c r="FS66" s="35"/>
    </row>
    <row r="67" spans="5:175">
      <c r="E67" s="48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52">
        <f t="shared" si="106"/>
        <v>0</v>
      </c>
      <c r="V67">
        <f t="shared" si="106"/>
        <v>0</v>
      </c>
      <c r="W67">
        <f t="shared" si="106"/>
        <v>0</v>
      </c>
      <c r="X67">
        <f t="shared" si="106"/>
        <v>0</v>
      </c>
      <c r="Y67">
        <f t="shared" si="106"/>
        <v>0</v>
      </c>
      <c r="Z67">
        <f t="shared" si="106"/>
        <v>0</v>
      </c>
      <c r="AA67">
        <f t="shared" si="106"/>
        <v>0</v>
      </c>
      <c r="AB67">
        <f t="shared" si="106"/>
        <v>0</v>
      </c>
      <c r="AC67">
        <f t="shared" si="106"/>
        <v>0</v>
      </c>
      <c r="AD67">
        <f t="shared" si="106"/>
        <v>0</v>
      </c>
      <c r="AE67" s="52">
        <f t="shared" si="17"/>
        <v>0</v>
      </c>
      <c r="AF67" s="16"/>
      <c r="AG67" s="16"/>
      <c r="AH67" s="16"/>
      <c r="AI67" s="16"/>
      <c r="AJ67" s="16"/>
      <c r="AK67" s="28"/>
      <c r="AL67" s="28"/>
      <c r="AM67" s="28"/>
      <c r="AN67" s="28"/>
      <c r="AO67" s="28"/>
      <c r="AP67" s="28"/>
      <c r="AQ67" s="28"/>
      <c r="AR67" s="28"/>
      <c r="AS67" s="28"/>
      <c r="AT67" s="35"/>
      <c r="AU67" s="58">
        <f t="shared" si="18"/>
        <v>18</v>
      </c>
      <c r="AV67" s="4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50">
        <f t="shared" si="107"/>
        <v>0</v>
      </c>
      <c r="BM67">
        <f t="shared" si="108"/>
        <v>0</v>
      </c>
      <c r="BN67">
        <f t="shared" si="109"/>
        <v>0</v>
      </c>
      <c r="BO67">
        <f t="shared" si="110"/>
        <v>0</v>
      </c>
      <c r="BP67">
        <f t="shared" si="111"/>
        <v>0</v>
      </c>
      <c r="BQ67">
        <f t="shared" si="112"/>
        <v>0</v>
      </c>
      <c r="BR67">
        <f t="shared" si="113"/>
        <v>0</v>
      </c>
      <c r="BS67">
        <f t="shared" si="114"/>
        <v>0</v>
      </c>
      <c r="BT67">
        <f t="shared" si="115"/>
        <v>0</v>
      </c>
      <c r="BU67">
        <f t="shared" si="116"/>
        <v>0</v>
      </c>
      <c r="BV67" s="50">
        <f t="shared" si="117"/>
        <v>0</v>
      </c>
      <c r="BW67" s="16"/>
      <c r="BX67" s="16"/>
      <c r="BY67" s="16"/>
      <c r="BZ67" s="16"/>
      <c r="CA67" s="16"/>
      <c r="CB67" s="28"/>
      <c r="CC67" s="28"/>
      <c r="CD67" s="28"/>
      <c r="CE67" s="28"/>
      <c r="CF67" s="28"/>
      <c r="CG67" s="28"/>
      <c r="CH67" s="28"/>
      <c r="CI67" s="28"/>
      <c r="CJ67" s="28"/>
      <c r="CK67" s="35"/>
      <c r="CM67" s="44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52">
        <v>1</v>
      </c>
      <c r="DD67">
        <f t="shared" ref="DD67:DM67" si="135">$C$20/($C$21-$C$22*DC67)</f>
        <v>0.539293284322932</v>
      </c>
      <c r="DE67">
        <f t="shared" si="135"/>
        <v>0.4319681814909459</v>
      </c>
      <c r="DF67">
        <f t="shared" si="135"/>
        <v>0.41282900386486376</v>
      </c>
      <c r="DG67">
        <f t="shared" si="135"/>
        <v>0.4095927266858736</v>
      </c>
      <c r="DH67">
        <f t="shared" si="135"/>
        <v>0.40905050749740984</v>
      </c>
      <c r="DI67">
        <f t="shared" si="135"/>
        <v>0.40895980224407819</v>
      </c>
      <c r="DJ67">
        <f t="shared" si="135"/>
        <v>0.4089446325237156</v>
      </c>
      <c r="DK67">
        <f t="shared" si="135"/>
        <v>0.40894209562046063</v>
      </c>
      <c r="DL67">
        <f t="shared" si="135"/>
        <v>0.40894167136534132</v>
      </c>
      <c r="DM67" s="52">
        <f t="shared" si="135"/>
        <v>0.40894160041577399</v>
      </c>
      <c r="DN67" s="16"/>
      <c r="DO67" s="16"/>
      <c r="DP67" s="16"/>
      <c r="DQ67" s="16"/>
      <c r="DR67" s="16"/>
      <c r="DS67" s="28"/>
      <c r="DT67" s="28"/>
      <c r="DU67" s="28"/>
      <c r="DV67" s="28"/>
      <c r="DW67" s="28"/>
      <c r="DX67" s="28"/>
      <c r="DY67" s="28"/>
      <c r="DZ67" s="28"/>
      <c r="EA67" s="28"/>
      <c r="EB67" s="35"/>
      <c r="EC67" s="58">
        <f t="shared" si="22"/>
        <v>18</v>
      </c>
      <c r="ED67" s="44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52">
        <v>0</v>
      </c>
      <c r="EU67">
        <f t="shared" si="119"/>
        <v>0</v>
      </c>
      <c r="EV67">
        <f t="shared" si="120"/>
        <v>0</v>
      </c>
      <c r="EW67">
        <f t="shared" si="121"/>
        <v>0</v>
      </c>
      <c r="EX67">
        <f t="shared" si="122"/>
        <v>0</v>
      </c>
      <c r="EY67">
        <f t="shared" si="123"/>
        <v>0</v>
      </c>
      <c r="EZ67">
        <f t="shared" si="124"/>
        <v>0</v>
      </c>
      <c r="FA67">
        <f t="shared" si="125"/>
        <v>0</v>
      </c>
      <c r="FB67">
        <f t="shared" si="126"/>
        <v>0</v>
      </c>
      <c r="FC67">
        <f t="shared" si="127"/>
        <v>0</v>
      </c>
      <c r="FD67" s="52">
        <f t="shared" si="128"/>
        <v>0</v>
      </c>
      <c r="FE67" s="16"/>
      <c r="FF67" s="16"/>
      <c r="FG67" s="16"/>
      <c r="FH67" s="16"/>
      <c r="FI67" s="16"/>
      <c r="FJ67" s="28"/>
      <c r="FK67" s="28"/>
      <c r="FL67" s="28"/>
      <c r="FM67" s="28"/>
      <c r="FN67" s="28"/>
      <c r="FO67" s="28"/>
      <c r="FP67" s="28"/>
      <c r="FQ67" s="28"/>
      <c r="FR67" s="28"/>
      <c r="FS67" s="35"/>
    </row>
    <row r="68" spans="5:175">
      <c r="E68" s="48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52">
        <f t="shared" si="106"/>
        <v>0</v>
      </c>
      <c r="V68">
        <f t="shared" si="106"/>
        <v>0</v>
      </c>
      <c r="W68">
        <f t="shared" si="106"/>
        <v>0</v>
      </c>
      <c r="X68">
        <f t="shared" si="106"/>
        <v>0</v>
      </c>
      <c r="Y68">
        <f t="shared" si="106"/>
        <v>0</v>
      </c>
      <c r="Z68">
        <f t="shared" si="106"/>
        <v>0</v>
      </c>
      <c r="AA68">
        <f t="shared" si="106"/>
        <v>0</v>
      </c>
      <c r="AB68">
        <f t="shared" si="106"/>
        <v>0</v>
      </c>
      <c r="AC68">
        <f t="shared" si="106"/>
        <v>0</v>
      </c>
      <c r="AD68">
        <f t="shared" si="106"/>
        <v>0</v>
      </c>
      <c r="AE68" s="52">
        <f t="shared" si="17"/>
        <v>0</v>
      </c>
      <c r="AF68" s="16"/>
      <c r="AG68" s="16"/>
      <c r="AH68" s="16"/>
      <c r="AI68" s="16"/>
      <c r="AJ68" s="16"/>
      <c r="AK68" s="28"/>
      <c r="AL68" s="28"/>
      <c r="AM68" s="28"/>
      <c r="AN68" s="28"/>
      <c r="AO68" s="28"/>
      <c r="AP68" s="28"/>
      <c r="AQ68" s="28"/>
      <c r="AR68" s="28"/>
      <c r="AS68" s="28"/>
      <c r="AT68" s="35"/>
      <c r="AU68" s="58">
        <f t="shared" si="18"/>
        <v>17</v>
      </c>
      <c r="AV68" s="4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50">
        <f t="shared" si="107"/>
        <v>0</v>
      </c>
      <c r="BM68">
        <f t="shared" si="108"/>
        <v>0</v>
      </c>
      <c r="BN68">
        <f t="shared" si="109"/>
        <v>0</v>
      </c>
      <c r="BO68">
        <f t="shared" si="110"/>
        <v>0</v>
      </c>
      <c r="BP68">
        <f t="shared" si="111"/>
        <v>0</v>
      </c>
      <c r="BQ68">
        <f t="shared" si="112"/>
        <v>0</v>
      </c>
      <c r="BR68">
        <f t="shared" si="113"/>
        <v>0</v>
      </c>
      <c r="BS68">
        <f t="shared" si="114"/>
        <v>0</v>
      </c>
      <c r="BT68">
        <f t="shared" si="115"/>
        <v>0</v>
      </c>
      <c r="BU68">
        <f t="shared" si="116"/>
        <v>0</v>
      </c>
      <c r="BV68" s="50">
        <f t="shared" si="117"/>
        <v>0</v>
      </c>
      <c r="BW68" s="16"/>
      <c r="BX68" s="16"/>
      <c r="BY68" s="16"/>
      <c r="BZ68" s="16"/>
      <c r="CA68" s="16"/>
      <c r="CB68" s="28"/>
      <c r="CC68" s="28"/>
      <c r="CD68" s="28"/>
      <c r="CE68" s="28"/>
      <c r="CF68" s="28"/>
      <c r="CG68" s="28"/>
      <c r="CH68" s="28"/>
      <c r="CI68" s="28"/>
      <c r="CJ68" s="28"/>
      <c r="CK68" s="35"/>
      <c r="CM68" s="44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52">
        <v>1</v>
      </c>
      <c r="DD68">
        <f t="shared" ref="DD68:DM68" si="136">$C$20/($C$21-$C$22*DC68)</f>
        <v>0.539293284322932</v>
      </c>
      <c r="DE68">
        <f t="shared" si="136"/>
        <v>0.4319681814909459</v>
      </c>
      <c r="DF68">
        <f t="shared" si="136"/>
        <v>0.41282900386486376</v>
      </c>
      <c r="DG68">
        <f t="shared" si="136"/>
        <v>0.4095927266858736</v>
      </c>
      <c r="DH68">
        <f t="shared" si="136"/>
        <v>0.40905050749740984</v>
      </c>
      <c r="DI68">
        <f t="shared" si="136"/>
        <v>0.40895980224407819</v>
      </c>
      <c r="DJ68">
        <f t="shared" si="136"/>
        <v>0.4089446325237156</v>
      </c>
      <c r="DK68">
        <f t="shared" si="136"/>
        <v>0.40894209562046063</v>
      </c>
      <c r="DL68">
        <f t="shared" si="136"/>
        <v>0.40894167136534132</v>
      </c>
      <c r="DM68" s="52">
        <f t="shared" si="136"/>
        <v>0.40894160041577399</v>
      </c>
      <c r="DN68" s="16"/>
      <c r="DO68" s="16"/>
      <c r="DP68" s="16"/>
      <c r="DQ68" s="16"/>
      <c r="DR68" s="16"/>
      <c r="DS68" s="28"/>
      <c r="DT68" s="28"/>
      <c r="DU68" s="28"/>
      <c r="DV68" s="28"/>
      <c r="DW68" s="28"/>
      <c r="DX68" s="28"/>
      <c r="DY68" s="28"/>
      <c r="DZ68" s="28"/>
      <c r="EA68" s="28"/>
      <c r="EB68" s="35"/>
      <c r="EC68" s="58">
        <f t="shared" si="22"/>
        <v>17</v>
      </c>
      <c r="ED68" s="44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52">
        <v>0</v>
      </c>
      <c r="EU68">
        <f t="shared" si="119"/>
        <v>0</v>
      </c>
      <c r="EV68">
        <f t="shared" si="120"/>
        <v>0</v>
      </c>
      <c r="EW68">
        <f t="shared" si="121"/>
        <v>0</v>
      </c>
      <c r="EX68">
        <f t="shared" si="122"/>
        <v>0</v>
      </c>
      <c r="EY68">
        <f t="shared" si="123"/>
        <v>0</v>
      </c>
      <c r="EZ68">
        <f t="shared" si="124"/>
        <v>0</v>
      </c>
      <c r="FA68">
        <f t="shared" si="125"/>
        <v>0</v>
      </c>
      <c r="FB68">
        <f t="shared" si="126"/>
        <v>0</v>
      </c>
      <c r="FC68">
        <f t="shared" si="127"/>
        <v>0</v>
      </c>
      <c r="FD68" s="52">
        <f t="shared" si="128"/>
        <v>0</v>
      </c>
      <c r="FE68" s="16"/>
      <c r="FF68" s="16"/>
      <c r="FG68" s="16"/>
      <c r="FH68" s="16"/>
      <c r="FI68" s="16"/>
      <c r="FJ68" s="28"/>
      <c r="FK68" s="28"/>
      <c r="FL68" s="28"/>
      <c r="FM68" s="28"/>
      <c r="FN68" s="28"/>
      <c r="FO68" s="28"/>
      <c r="FP68" s="28"/>
      <c r="FQ68" s="28"/>
      <c r="FR68" s="28"/>
      <c r="FS68" s="35"/>
    </row>
    <row r="69" spans="5:175">
      <c r="E69" s="48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52">
        <f t="shared" si="106"/>
        <v>0</v>
      </c>
      <c r="V69">
        <f t="shared" si="106"/>
        <v>0</v>
      </c>
      <c r="W69">
        <f t="shared" si="106"/>
        <v>0</v>
      </c>
      <c r="X69">
        <f t="shared" si="106"/>
        <v>0</v>
      </c>
      <c r="Y69">
        <f t="shared" si="106"/>
        <v>0</v>
      </c>
      <c r="Z69">
        <f t="shared" si="106"/>
        <v>0</v>
      </c>
      <c r="AA69">
        <f t="shared" si="106"/>
        <v>0</v>
      </c>
      <c r="AB69">
        <f t="shared" si="106"/>
        <v>0</v>
      </c>
      <c r="AC69">
        <f t="shared" si="106"/>
        <v>0</v>
      </c>
      <c r="AD69">
        <f t="shared" si="106"/>
        <v>0</v>
      </c>
      <c r="AE69" s="52">
        <f t="shared" si="17"/>
        <v>0</v>
      </c>
      <c r="AF69" s="16"/>
      <c r="AG69" s="16"/>
      <c r="AH69" s="16"/>
      <c r="AI69" s="16"/>
      <c r="AJ69" s="16"/>
      <c r="AK69" s="28"/>
      <c r="AL69" s="28"/>
      <c r="AM69" s="28"/>
      <c r="AN69" s="28"/>
      <c r="AO69" s="28"/>
      <c r="AP69" s="28"/>
      <c r="AQ69" s="28"/>
      <c r="AR69" s="28"/>
      <c r="AS69" s="28"/>
      <c r="AT69" s="35"/>
      <c r="AU69" s="58">
        <f t="shared" si="18"/>
        <v>16</v>
      </c>
      <c r="AV69" s="4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50">
        <f t="shared" si="107"/>
        <v>0</v>
      </c>
      <c r="BM69">
        <f t="shared" si="108"/>
        <v>0</v>
      </c>
      <c r="BN69">
        <f t="shared" si="109"/>
        <v>0</v>
      </c>
      <c r="BO69">
        <f t="shared" si="110"/>
        <v>0</v>
      </c>
      <c r="BP69">
        <f t="shared" si="111"/>
        <v>0</v>
      </c>
      <c r="BQ69">
        <f t="shared" si="112"/>
        <v>0</v>
      </c>
      <c r="BR69">
        <f t="shared" si="113"/>
        <v>0</v>
      </c>
      <c r="BS69">
        <f t="shared" si="114"/>
        <v>0</v>
      </c>
      <c r="BT69">
        <f t="shared" si="115"/>
        <v>0</v>
      </c>
      <c r="BU69">
        <f t="shared" si="116"/>
        <v>0</v>
      </c>
      <c r="BV69" s="50">
        <f t="shared" si="117"/>
        <v>0</v>
      </c>
      <c r="BW69" s="16"/>
      <c r="BX69" s="16"/>
      <c r="BY69" s="16"/>
      <c r="BZ69" s="16"/>
      <c r="CA69" s="16"/>
      <c r="CB69" s="28"/>
      <c r="CC69" s="28"/>
      <c r="CD69" s="28"/>
      <c r="CE69" s="28"/>
      <c r="CF69" s="28"/>
      <c r="CG69" s="28"/>
      <c r="CH69" s="28"/>
      <c r="CI69" s="28"/>
      <c r="CJ69" s="28"/>
      <c r="CK69" s="35"/>
      <c r="CM69" s="44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52">
        <v>1</v>
      </c>
      <c r="DD69">
        <f t="shared" ref="DD69:DM69" si="137">$C$20/($C$21-$C$22*DC69)</f>
        <v>0.539293284322932</v>
      </c>
      <c r="DE69">
        <f t="shared" si="137"/>
        <v>0.4319681814909459</v>
      </c>
      <c r="DF69">
        <f t="shared" si="137"/>
        <v>0.41282900386486376</v>
      </c>
      <c r="DG69">
        <f t="shared" si="137"/>
        <v>0.4095927266858736</v>
      </c>
      <c r="DH69">
        <f t="shared" si="137"/>
        <v>0.40905050749740984</v>
      </c>
      <c r="DI69">
        <f t="shared" si="137"/>
        <v>0.40895980224407819</v>
      </c>
      <c r="DJ69">
        <f t="shared" si="137"/>
        <v>0.4089446325237156</v>
      </c>
      <c r="DK69">
        <f t="shared" si="137"/>
        <v>0.40894209562046063</v>
      </c>
      <c r="DL69">
        <f t="shared" si="137"/>
        <v>0.40894167136534132</v>
      </c>
      <c r="DM69" s="52">
        <f t="shared" si="137"/>
        <v>0.40894160041577399</v>
      </c>
      <c r="DN69" s="16"/>
      <c r="DO69" s="16"/>
      <c r="DP69" s="16"/>
      <c r="DQ69" s="16"/>
      <c r="DR69" s="16"/>
      <c r="DS69" s="28"/>
      <c r="DT69" s="28"/>
      <c r="DU69" s="28"/>
      <c r="DV69" s="28"/>
      <c r="DW69" s="28"/>
      <c r="DX69" s="28"/>
      <c r="DY69" s="28"/>
      <c r="DZ69" s="28"/>
      <c r="EA69" s="28"/>
      <c r="EB69" s="35"/>
      <c r="EC69" s="58">
        <f t="shared" si="22"/>
        <v>16</v>
      </c>
      <c r="ED69" s="44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52">
        <v>0</v>
      </c>
      <c r="EU69">
        <f t="shared" si="119"/>
        <v>0</v>
      </c>
      <c r="EV69">
        <f t="shared" si="120"/>
        <v>0</v>
      </c>
      <c r="EW69">
        <f t="shared" si="121"/>
        <v>0</v>
      </c>
      <c r="EX69">
        <f t="shared" si="122"/>
        <v>0</v>
      </c>
      <c r="EY69">
        <f t="shared" si="123"/>
        <v>0</v>
      </c>
      <c r="EZ69">
        <f t="shared" si="124"/>
        <v>0</v>
      </c>
      <c r="FA69">
        <f t="shared" si="125"/>
        <v>0</v>
      </c>
      <c r="FB69">
        <f t="shared" si="126"/>
        <v>0</v>
      </c>
      <c r="FC69">
        <f t="shared" si="127"/>
        <v>0</v>
      </c>
      <c r="FD69" s="52">
        <f t="shared" si="128"/>
        <v>0</v>
      </c>
      <c r="FE69" s="16"/>
      <c r="FF69" s="16"/>
      <c r="FG69" s="16"/>
      <c r="FH69" s="16"/>
      <c r="FI69" s="16"/>
      <c r="FJ69" s="28"/>
      <c r="FK69" s="28"/>
      <c r="FL69" s="28"/>
      <c r="FM69" s="28"/>
      <c r="FN69" s="28"/>
      <c r="FO69" s="28"/>
      <c r="FP69" s="28"/>
      <c r="FQ69" s="28"/>
      <c r="FR69" s="28"/>
      <c r="FS69" s="35"/>
    </row>
    <row r="70" spans="5:175">
      <c r="E70" s="48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52">
        <f t="shared" si="106"/>
        <v>0</v>
      </c>
      <c r="V70">
        <f t="shared" si="106"/>
        <v>0</v>
      </c>
      <c r="W70">
        <f t="shared" si="106"/>
        <v>0</v>
      </c>
      <c r="X70">
        <f t="shared" si="106"/>
        <v>0</v>
      </c>
      <c r="Y70">
        <f t="shared" si="106"/>
        <v>0</v>
      </c>
      <c r="Z70">
        <f t="shared" si="106"/>
        <v>0</v>
      </c>
      <c r="AA70">
        <f t="shared" si="106"/>
        <v>0</v>
      </c>
      <c r="AB70">
        <f t="shared" si="106"/>
        <v>0</v>
      </c>
      <c r="AC70">
        <f t="shared" si="106"/>
        <v>0</v>
      </c>
      <c r="AD70">
        <f t="shared" si="106"/>
        <v>0</v>
      </c>
      <c r="AE70" s="52">
        <f t="shared" si="17"/>
        <v>0</v>
      </c>
      <c r="AF70" s="16"/>
      <c r="AG70" s="16"/>
      <c r="AH70" s="16"/>
      <c r="AI70" s="16"/>
      <c r="AJ70" s="16"/>
      <c r="AK70" s="28"/>
      <c r="AL70" s="28"/>
      <c r="AM70" s="28"/>
      <c r="AN70" s="28"/>
      <c r="AO70" s="28"/>
      <c r="AP70" s="28"/>
      <c r="AQ70" s="28"/>
      <c r="AR70" s="28"/>
      <c r="AS70" s="28"/>
      <c r="AT70" s="35"/>
      <c r="AU70" s="58">
        <f t="shared" si="18"/>
        <v>15</v>
      </c>
      <c r="AV70" s="4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50">
        <f t="shared" si="107"/>
        <v>0</v>
      </c>
      <c r="BM70">
        <f t="shared" si="108"/>
        <v>0</v>
      </c>
      <c r="BN70">
        <f t="shared" si="109"/>
        <v>0</v>
      </c>
      <c r="BO70">
        <f t="shared" si="110"/>
        <v>0</v>
      </c>
      <c r="BP70">
        <f t="shared" si="111"/>
        <v>0</v>
      </c>
      <c r="BQ70">
        <f t="shared" si="112"/>
        <v>0</v>
      </c>
      <c r="BR70">
        <f t="shared" si="113"/>
        <v>0</v>
      </c>
      <c r="BS70">
        <f t="shared" si="114"/>
        <v>0</v>
      </c>
      <c r="BT70">
        <f t="shared" si="115"/>
        <v>0</v>
      </c>
      <c r="BU70">
        <f t="shared" si="116"/>
        <v>0</v>
      </c>
      <c r="BV70" s="50">
        <f t="shared" si="117"/>
        <v>0</v>
      </c>
      <c r="BW70" s="16"/>
      <c r="BX70" s="16"/>
      <c r="BY70" s="16"/>
      <c r="BZ70" s="16"/>
      <c r="CA70" s="16"/>
      <c r="CB70" s="28"/>
      <c r="CC70" s="28"/>
      <c r="CD70" s="28"/>
      <c r="CE70" s="28"/>
      <c r="CF70" s="28"/>
      <c r="CG70" s="28"/>
      <c r="CH70" s="28"/>
      <c r="CI70" s="28"/>
      <c r="CJ70" s="28"/>
      <c r="CK70" s="35"/>
      <c r="CM70" s="44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52">
        <v>1</v>
      </c>
      <c r="DD70">
        <f t="shared" ref="DD70:DM70" si="138">$C$20/($C$21-$C$22*DC70)</f>
        <v>0.539293284322932</v>
      </c>
      <c r="DE70">
        <f t="shared" si="138"/>
        <v>0.4319681814909459</v>
      </c>
      <c r="DF70">
        <f t="shared" si="138"/>
        <v>0.41282900386486376</v>
      </c>
      <c r="DG70">
        <f t="shared" si="138"/>
        <v>0.4095927266858736</v>
      </c>
      <c r="DH70">
        <f t="shared" si="138"/>
        <v>0.40905050749740984</v>
      </c>
      <c r="DI70">
        <f t="shared" si="138"/>
        <v>0.40895980224407819</v>
      </c>
      <c r="DJ70">
        <f t="shared" si="138"/>
        <v>0.4089446325237156</v>
      </c>
      <c r="DK70">
        <f t="shared" si="138"/>
        <v>0.40894209562046063</v>
      </c>
      <c r="DL70">
        <f t="shared" si="138"/>
        <v>0.40894167136534132</v>
      </c>
      <c r="DM70" s="52">
        <f t="shared" si="138"/>
        <v>0.40894160041577399</v>
      </c>
      <c r="DN70" s="16"/>
      <c r="DO70" s="16"/>
      <c r="DP70" s="16"/>
      <c r="DQ70" s="16"/>
      <c r="DR70" s="16"/>
      <c r="DS70" s="28"/>
      <c r="DT70" s="28"/>
      <c r="DU70" s="28"/>
      <c r="DV70" s="28"/>
      <c r="DW70" s="28"/>
      <c r="DX70" s="28"/>
      <c r="DY70" s="28"/>
      <c r="DZ70" s="28"/>
      <c r="EA70" s="28"/>
      <c r="EB70" s="35"/>
      <c r="EC70" s="58">
        <f t="shared" si="22"/>
        <v>15</v>
      </c>
      <c r="ED70" s="44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52">
        <v>0</v>
      </c>
      <c r="EU70">
        <f t="shared" si="119"/>
        <v>0</v>
      </c>
      <c r="EV70">
        <f t="shared" si="120"/>
        <v>0</v>
      </c>
      <c r="EW70">
        <f t="shared" si="121"/>
        <v>0</v>
      </c>
      <c r="EX70">
        <f t="shared" si="122"/>
        <v>0</v>
      </c>
      <c r="EY70">
        <f t="shared" si="123"/>
        <v>0</v>
      </c>
      <c r="EZ70">
        <f t="shared" si="124"/>
        <v>0</v>
      </c>
      <c r="FA70">
        <f t="shared" si="125"/>
        <v>0</v>
      </c>
      <c r="FB70">
        <f t="shared" si="126"/>
        <v>0</v>
      </c>
      <c r="FC70">
        <f t="shared" si="127"/>
        <v>0</v>
      </c>
      <c r="FD70" s="52">
        <f t="shared" si="128"/>
        <v>0</v>
      </c>
      <c r="FE70" s="16"/>
      <c r="FF70" s="16"/>
      <c r="FG70" s="16"/>
      <c r="FH70" s="16"/>
      <c r="FI70" s="16"/>
      <c r="FJ70" s="28"/>
      <c r="FK70" s="28"/>
      <c r="FL70" s="28"/>
      <c r="FM70" s="28"/>
      <c r="FN70" s="28"/>
      <c r="FO70" s="28"/>
      <c r="FP70" s="28"/>
      <c r="FQ70" s="28"/>
      <c r="FR70" s="28"/>
      <c r="FS70" s="35"/>
    </row>
    <row r="71" spans="5:175">
      <c r="E71" s="48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52">
        <f t="shared" si="106"/>
        <v>0</v>
      </c>
      <c r="V71">
        <f t="shared" si="106"/>
        <v>0</v>
      </c>
      <c r="W71">
        <f t="shared" si="106"/>
        <v>0</v>
      </c>
      <c r="X71">
        <f t="shared" si="106"/>
        <v>0</v>
      </c>
      <c r="Y71">
        <f t="shared" si="106"/>
        <v>0</v>
      </c>
      <c r="Z71">
        <f t="shared" si="106"/>
        <v>0</v>
      </c>
      <c r="AA71">
        <f t="shared" si="106"/>
        <v>0</v>
      </c>
      <c r="AB71">
        <f t="shared" si="106"/>
        <v>0</v>
      </c>
      <c r="AC71">
        <f t="shared" si="106"/>
        <v>0</v>
      </c>
      <c r="AD71">
        <f t="shared" si="106"/>
        <v>0</v>
      </c>
      <c r="AE71" s="52">
        <f t="shared" si="17"/>
        <v>0</v>
      </c>
      <c r="AF71" s="16"/>
      <c r="AG71" s="16"/>
      <c r="AH71" s="16"/>
      <c r="AI71" s="16"/>
      <c r="AJ71" s="16"/>
      <c r="AK71" s="28"/>
      <c r="AL71" s="28"/>
      <c r="AM71" s="28"/>
      <c r="AN71" s="28"/>
      <c r="AO71" s="28"/>
      <c r="AP71" s="28"/>
      <c r="AQ71" s="28"/>
      <c r="AR71" s="28"/>
      <c r="AS71" s="28"/>
      <c r="AT71" s="35"/>
      <c r="AU71" s="58">
        <f t="shared" si="18"/>
        <v>14</v>
      </c>
      <c r="AV71" s="4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50">
        <f t="shared" si="107"/>
        <v>0</v>
      </c>
      <c r="BM71">
        <f t="shared" si="108"/>
        <v>0</v>
      </c>
      <c r="BN71">
        <f t="shared" si="109"/>
        <v>0</v>
      </c>
      <c r="BO71">
        <f t="shared" si="110"/>
        <v>0</v>
      </c>
      <c r="BP71">
        <f t="shared" si="111"/>
        <v>0</v>
      </c>
      <c r="BQ71">
        <f t="shared" si="112"/>
        <v>0</v>
      </c>
      <c r="BR71">
        <f t="shared" si="113"/>
        <v>0</v>
      </c>
      <c r="BS71">
        <f t="shared" si="114"/>
        <v>0</v>
      </c>
      <c r="BT71">
        <f t="shared" si="115"/>
        <v>0</v>
      </c>
      <c r="BU71">
        <f t="shared" si="116"/>
        <v>0</v>
      </c>
      <c r="BV71" s="50">
        <f t="shared" si="117"/>
        <v>0</v>
      </c>
      <c r="BW71" s="16"/>
      <c r="BX71" s="16"/>
      <c r="BY71" s="16"/>
      <c r="BZ71" s="16"/>
      <c r="CA71" s="16"/>
      <c r="CB71" s="28"/>
      <c r="CC71" s="28"/>
      <c r="CD71" s="28"/>
      <c r="CE71" s="28"/>
      <c r="CF71" s="28"/>
      <c r="CG71" s="28"/>
      <c r="CH71" s="28"/>
      <c r="CI71" s="28"/>
      <c r="CJ71" s="28"/>
      <c r="CK71" s="35"/>
      <c r="CM71" s="44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52">
        <v>1</v>
      </c>
      <c r="DD71">
        <f t="shared" ref="DD71:DM71" si="139">$C$20/($C$21-$C$22*DC71)</f>
        <v>0.539293284322932</v>
      </c>
      <c r="DE71">
        <f t="shared" si="139"/>
        <v>0.4319681814909459</v>
      </c>
      <c r="DF71">
        <f t="shared" si="139"/>
        <v>0.41282900386486376</v>
      </c>
      <c r="DG71">
        <f t="shared" si="139"/>
        <v>0.4095927266858736</v>
      </c>
      <c r="DH71">
        <f t="shared" si="139"/>
        <v>0.40905050749740984</v>
      </c>
      <c r="DI71">
        <f t="shared" si="139"/>
        <v>0.40895980224407819</v>
      </c>
      <c r="DJ71">
        <f t="shared" si="139"/>
        <v>0.4089446325237156</v>
      </c>
      <c r="DK71">
        <f t="shared" si="139"/>
        <v>0.40894209562046063</v>
      </c>
      <c r="DL71">
        <f t="shared" si="139"/>
        <v>0.40894167136534132</v>
      </c>
      <c r="DM71" s="52">
        <f t="shared" si="139"/>
        <v>0.40894160041577399</v>
      </c>
      <c r="DN71" s="16"/>
      <c r="DO71" s="16"/>
      <c r="DP71" s="16"/>
      <c r="DQ71" s="16"/>
      <c r="DR71" s="16"/>
      <c r="DS71" s="28"/>
      <c r="DT71" s="28"/>
      <c r="DU71" s="28"/>
      <c r="DV71" s="28"/>
      <c r="DW71" s="28"/>
      <c r="DX71" s="28"/>
      <c r="DY71" s="28"/>
      <c r="DZ71" s="28"/>
      <c r="EA71" s="28"/>
      <c r="EB71" s="35"/>
      <c r="EC71" s="58">
        <f t="shared" si="22"/>
        <v>14</v>
      </c>
      <c r="ED71" s="44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52">
        <v>0</v>
      </c>
      <c r="EU71">
        <f t="shared" si="119"/>
        <v>0</v>
      </c>
      <c r="EV71">
        <f t="shared" si="120"/>
        <v>0</v>
      </c>
      <c r="EW71">
        <f t="shared" si="121"/>
        <v>0</v>
      </c>
      <c r="EX71">
        <f t="shared" si="122"/>
        <v>0</v>
      </c>
      <c r="EY71">
        <f t="shared" si="123"/>
        <v>0</v>
      </c>
      <c r="EZ71">
        <f t="shared" si="124"/>
        <v>0</v>
      </c>
      <c r="FA71">
        <f t="shared" si="125"/>
        <v>0</v>
      </c>
      <c r="FB71">
        <f t="shared" si="126"/>
        <v>0</v>
      </c>
      <c r="FC71">
        <f t="shared" si="127"/>
        <v>0</v>
      </c>
      <c r="FD71" s="52">
        <f t="shared" si="128"/>
        <v>0</v>
      </c>
      <c r="FE71" s="16"/>
      <c r="FF71" s="16"/>
      <c r="FG71" s="16"/>
      <c r="FH71" s="16"/>
      <c r="FI71" s="16"/>
      <c r="FJ71" s="28"/>
      <c r="FK71" s="28"/>
      <c r="FL71" s="28"/>
      <c r="FM71" s="28"/>
      <c r="FN71" s="28"/>
      <c r="FO71" s="28"/>
      <c r="FP71" s="28"/>
      <c r="FQ71" s="28"/>
      <c r="FR71" s="28"/>
      <c r="FS71" s="35"/>
    </row>
    <row r="72" spans="5:175">
      <c r="E72" s="48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52">
        <f t="shared" si="106"/>
        <v>0</v>
      </c>
      <c r="V72">
        <f t="shared" si="106"/>
        <v>0</v>
      </c>
      <c r="W72">
        <f t="shared" si="106"/>
        <v>0</v>
      </c>
      <c r="X72">
        <f t="shared" si="106"/>
        <v>0</v>
      </c>
      <c r="Y72">
        <f t="shared" si="106"/>
        <v>0</v>
      </c>
      <c r="Z72">
        <f t="shared" si="106"/>
        <v>0</v>
      </c>
      <c r="AA72">
        <f t="shared" si="106"/>
        <v>0</v>
      </c>
      <c r="AB72">
        <f t="shared" si="106"/>
        <v>0</v>
      </c>
      <c r="AC72">
        <f t="shared" si="106"/>
        <v>0</v>
      </c>
      <c r="AD72">
        <f t="shared" si="106"/>
        <v>0</v>
      </c>
      <c r="AE72" s="52">
        <f t="shared" si="17"/>
        <v>0</v>
      </c>
      <c r="AF72" s="16"/>
      <c r="AG72" s="16"/>
      <c r="AH72" s="16"/>
      <c r="AI72" s="16"/>
      <c r="AJ72" s="16"/>
      <c r="AK72" s="28"/>
      <c r="AL72" s="28"/>
      <c r="AM72" s="28"/>
      <c r="AN72" s="28"/>
      <c r="AO72" s="28"/>
      <c r="AP72" s="28"/>
      <c r="AQ72" s="28"/>
      <c r="AR72" s="28"/>
      <c r="AS72" s="28"/>
      <c r="AT72" s="35"/>
      <c r="AU72" s="58">
        <f t="shared" si="18"/>
        <v>13</v>
      </c>
      <c r="AV72" s="4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50">
        <f t="shared" si="107"/>
        <v>0</v>
      </c>
      <c r="BM72">
        <f t="shared" si="108"/>
        <v>0</v>
      </c>
      <c r="BN72">
        <f t="shared" si="109"/>
        <v>0</v>
      </c>
      <c r="BO72">
        <f t="shared" si="110"/>
        <v>0</v>
      </c>
      <c r="BP72">
        <f t="shared" si="111"/>
        <v>0</v>
      </c>
      <c r="BQ72">
        <f t="shared" si="112"/>
        <v>0</v>
      </c>
      <c r="BR72">
        <f t="shared" si="113"/>
        <v>0</v>
      </c>
      <c r="BS72">
        <f t="shared" si="114"/>
        <v>0</v>
      </c>
      <c r="BT72">
        <f t="shared" si="115"/>
        <v>0</v>
      </c>
      <c r="BU72">
        <f t="shared" si="116"/>
        <v>0</v>
      </c>
      <c r="BV72" s="50">
        <f t="shared" si="117"/>
        <v>0</v>
      </c>
      <c r="BW72" s="16"/>
      <c r="BX72" s="16"/>
      <c r="BY72" s="16"/>
      <c r="BZ72" s="16"/>
      <c r="CA72" s="16"/>
      <c r="CB72" s="28"/>
      <c r="CC72" s="28"/>
      <c r="CD72" s="28"/>
      <c r="CE72" s="28"/>
      <c r="CF72" s="28"/>
      <c r="CG72" s="28"/>
      <c r="CH72" s="28"/>
      <c r="CI72" s="28"/>
      <c r="CJ72" s="28"/>
      <c r="CK72" s="35"/>
      <c r="CM72" s="44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52">
        <v>1</v>
      </c>
      <c r="DD72">
        <f t="shared" ref="DD72:DM72" si="140">$C$20/($C$21-$C$22*DC72)</f>
        <v>0.539293284322932</v>
      </c>
      <c r="DE72">
        <f t="shared" si="140"/>
        <v>0.4319681814909459</v>
      </c>
      <c r="DF72">
        <f t="shared" si="140"/>
        <v>0.41282900386486376</v>
      </c>
      <c r="DG72">
        <f t="shared" si="140"/>
        <v>0.4095927266858736</v>
      </c>
      <c r="DH72">
        <f t="shared" si="140"/>
        <v>0.40905050749740984</v>
      </c>
      <c r="DI72">
        <f t="shared" si="140"/>
        <v>0.40895980224407819</v>
      </c>
      <c r="DJ72">
        <f t="shared" si="140"/>
        <v>0.4089446325237156</v>
      </c>
      <c r="DK72">
        <f t="shared" si="140"/>
        <v>0.40894209562046063</v>
      </c>
      <c r="DL72">
        <f t="shared" si="140"/>
        <v>0.40894167136534132</v>
      </c>
      <c r="DM72" s="52">
        <f t="shared" si="140"/>
        <v>0.40894160041577399</v>
      </c>
      <c r="DN72" s="16"/>
      <c r="DO72" s="16"/>
      <c r="DP72" s="16"/>
      <c r="DQ72" s="16"/>
      <c r="DR72" s="16"/>
      <c r="DS72" s="28"/>
      <c r="DT72" s="28"/>
      <c r="DU72" s="28"/>
      <c r="DV72" s="28"/>
      <c r="DW72" s="28"/>
      <c r="DX72" s="28"/>
      <c r="DY72" s="28"/>
      <c r="DZ72" s="28"/>
      <c r="EA72" s="28"/>
      <c r="EB72" s="35"/>
      <c r="EC72" s="58">
        <f t="shared" si="22"/>
        <v>13</v>
      </c>
      <c r="ED72" s="44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52">
        <v>0</v>
      </c>
      <c r="EU72">
        <f t="shared" si="119"/>
        <v>0</v>
      </c>
      <c r="EV72">
        <f t="shared" si="120"/>
        <v>0</v>
      </c>
      <c r="EW72">
        <f t="shared" si="121"/>
        <v>0</v>
      </c>
      <c r="EX72">
        <f t="shared" si="122"/>
        <v>0</v>
      </c>
      <c r="EY72">
        <f t="shared" si="123"/>
        <v>0</v>
      </c>
      <c r="EZ72">
        <f t="shared" si="124"/>
        <v>0</v>
      </c>
      <c r="FA72">
        <f t="shared" si="125"/>
        <v>0</v>
      </c>
      <c r="FB72">
        <f t="shared" si="126"/>
        <v>0</v>
      </c>
      <c r="FC72">
        <f t="shared" si="127"/>
        <v>0</v>
      </c>
      <c r="FD72" s="52">
        <f t="shared" si="128"/>
        <v>0</v>
      </c>
      <c r="FE72" s="16"/>
      <c r="FF72" s="16"/>
      <c r="FG72" s="16"/>
      <c r="FH72" s="16"/>
      <c r="FI72" s="16"/>
      <c r="FJ72" s="28"/>
      <c r="FK72" s="28"/>
      <c r="FL72" s="28"/>
      <c r="FM72" s="28"/>
      <c r="FN72" s="28"/>
      <c r="FO72" s="28"/>
      <c r="FP72" s="28"/>
      <c r="FQ72" s="28"/>
      <c r="FR72" s="28"/>
      <c r="FS72" s="35"/>
    </row>
    <row r="73" spans="5:175">
      <c r="E73" s="48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52">
        <f t="shared" si="106"/>
        <v>0</v>
      </c>
      <c r="V73">
        <f t="shared" si="106"/>
        <v>0</v>
      </c>
      <c r="W73">
        <f t="shared" si="106"/>
        <v>0</v>
      </c>
      <c r="X73">
        <f t="shared" si="106"/>
        <v>0</v>
      </c>
      <c r="Y73">
        <f t="shared" si="106"/>
        <v>0</v>
      </c>
      <c r="Z73">
        <f t="shared" si="106"/>
        <v>0</v>
      </c>
      <c r="AA73">
        <f t="shared" si="106"/>
        <v>0</v>
      </c>
      <c r="AB73">
        <f t="shared" si="106"/>
        <v>0</v>
      </c>
      <c r="AC73">
        <f t="shared" si="106"/>
        <v>0</v>
      </c>
      <c r="AD73">
        <f t="shared" si="106"/>
        <v>0</v>
      </c>
      <c r="AE73" s="52">
        <f t="shared" si="17"/>
        <v>0</v>
      </c>
      <c r="AF73" s="16"/>
      <c r="AG73" s="16"/>
      <c r="AH73" s="16"/>
      <c r="AI73" s="16"/>
      <c r="AJ73" s="16"/>
      <c r="AK73" s="28"/>
      <c r="AL73" s="28"/>
      <c r="AM73" s="28"/>
      <c r="AN73" s="28"/>
      <c r="AO73" s="28"/>
      <c r="AP73" s="28"/>
      <c r="AQ73" s="28"/>
      <c r="AR73" s="28"/>
      <c r="AS73" s="28"/>
      <c r="AT73" s="35"/>
      <c r="AU73" s="58">
        <f t="shared" si="18"/>
        <v>12</v>
      </c>
      <c r="AV73" s="4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50">
        <f t="shared" si="107"/>
        <v>0</v>
      </c>
      <c r="BM73">
        <f t="shared" si="108"/>
        <v>0</v>
      </c>
      <c r="BN73">
        <f t="shared" si="109"/>
        <v>0</v>
      </c>
      <c r="BO73">
        <f t="shared" si="110"/>
        <v>0</v>
      </c>
      <c r="BP73">
        <f t="shared" si="111"/>
        <v>0</v>
      </c>
      <c r="BQ73">
        <f t="shared" si="112"/>
        <v>0</v>
      </c>
      <c r="BR73">
        <f t="shared" si="113"/>
        <v>0</v>
      </c>
      <c r="BS73">
        <f t="shared" si="114"/>
        <v>0</v>
      </c>
      <c r="BT73">
        <f t="shared" si="115"/>
        <v>0</v>
      </c>
      <c r="BU73">
        <f t="shared" si="116"/>
        <v>0</v>
      </c>
      <c r="BV73" s="50">
        <f t="shared" si="117"/>
        <v>0</v>
      </c>
      <c r="BW73" s="16"/>
      <c r="BX73" s="16"/>
      <c r="BY73" s="16"/>
      <c r="BZ73" s="16"/>
      <c r="CA73" s="16"/>
      <c r="CB73" s="28"/>
      <c r="CC73" s="28"/>
      <c r="CD73" s="28"/>
      <c r="CE73" s="28"/>
      <c r="CF73" s="28"/>
      <c r="CG73" s="28"/>
      <c r="CH73" s="28"/>
      <c r="CI73" s="28"/>
      <c r="CJ73" s="28"/>
      <c r="CK73" s="35"/>
      <c r="CM73" s="44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52">
        <v>1</v>
      </c>
      <c r="DD73">
        <f t="shared" ref="DD73:DM73" si="141">$C$20/($C$21-$C$22*DC73)</f>
        <v>0.539293284322932</v>
      </c>
      <c r="DE73">
        <f t="shared" si="141"/>
        <v>0.4319681814909459</v>
      </c>
      <c r="DF73">
        <f t="shared" si="141"/>
        <v>0.41282900386486376</v>
      </c>
      <c r="DG73">
        <f t="shared" si="141"/>
        <v>0.4095927266858736</v>
      </c>
      <c r="DH73">
        <f t="shared" si="141"/>
        <v>0.40905050749740984</v>
      </c>
      <c r="DI73">
        <f t="shared" si="141"/>
        <v>0.40895980224407819</v>
      </c>
      <c r="DJ73">
        <f t="shared" si="141"/>
        <v>0.4089446325237156</v>
      </c>
      <c r="DK73">
        <f t="shared" si="141"/>
        <v>0.40894209562046063</v>
      </c>
      <c r="DL73">
        <f t="shared" si="141"/>
        <v>0.40894167136534132</v>
      </c>
      <c r="DM73" s="52">
        <f t="shared" si="141"/>
        <v>0.40894160041577399</v>
      </c>
      <c r="DN73" s="16"/>
      <c r="DO73" s="16"/>
      <c r="DP73" s="16"/>
      <c r="DQ73" s="16"/>
      <c r="DR73" s="16"/>
      <c r="DS73" s="28"/>
      <c r="DT73" s="28"/>
      <c r="DU73" s="28"/>
      <c r="DV73" s="28"/>
      <c r="DW73" s="28"/>
      <c r="DX73" s="28"/>
      <c r="DY73" s="28"/>
      <c r="DZ73" s="28"/>
      <c r="EA73" s="28"/>
      <c r="EB73" s="35"/>
      <c r="EC73" s="58">
        <f t="shared" si="22"/>
        <v>12</v>
      </c>
      <c r="ED73" s="44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52">
        <v>0</v>
      </c>
      <c r="EU73">
        <f t="shared" si="119"/>
        <v>0</v>
      </c>
      <c r="EV73">
        <f t="shared" si="120"/>
        <v>0</v>
      </c>
      <c r="EW73">
        <f t="shared" si="121"/>
        <v>0</v>
      </c>
      <c r="EX73">
        <f t="shared" si="122"/>
        <v>0</v>
      </c>
      <c r="EY73">
        <f t="shared" si="123"/>
        <v>0</v>
      </c>
      <c r="EZ73">
        <f t="shared" si="124"/>
        <v>0</v>
      </c>
      <c r="FA73">
        <f t="shared" si="125"/>
        <v>0</v>
      </c>
      <c r="FB73">
        <f t="shared" si="126"/>
        <v>0</v>
      </c>
      <c r="FC73">
        <f t="shared" si="127"/>
        <v>0</v>
      </c>
      <c r="FD73" s="52">
        <f t="shared" si="128"/>
        <v>0</v>
      </c>
      <c r="FE73" s="16"/>
      <c r="FF73" s="16"/>
      <c r="FG73" s="16"/>
      <c r="FH73" s="16"/>
      <c r="FI73" s="16"/>
      <c r="FJ73" s="28"/>
      <c r="FK73" s="28"/>
      <c r="FL73" s="28"/>
      <c r="FM73" s="28"/>
      <c r="FN73" s="28"/>
      <c r="FO73" s="28"/>
      <c r="FP73" s="28"/>
      <c r="FQ73" s="28"/>
      <c r="FR73" s="28"/>
      <c r="FS73" s="35"/>
    </row>
    <row r="74" spans="5:175">
      <c r="E74" s="48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52">
        <f t="shared" ref="U74:AR84" si="142">DC74*V74+ET74</f>
        <v>0</v>
      </c>
      <c r="V74">
        <f t="shared" si="142"/>
        <v>0</v>
      </c>
      <c r="W74">
        <f t="shared" si="142"/>
        <v>0</v>
      </c>
      <c r="X74">
        <f t="shared" si="142"/>
        <v>0</v>
      </c>
      <c r="Y74">
        <f t="shared" si="142"/>
        <v>0</v>
      </c>
      <c r="Z74">
        <f t="shared" si="142"/>
        <v>0</v>
      </c>
      <c r="AA74">
        <f t="shared" si="142"/>
        <v>0</v>
      </c>
      <c r="AB74">
        <f t="shared" si="142"/>
        <v>0</v>
      </c>
      <c r="AC74">
        <f t="shared" si="142"/>
        <v>0</v>
      </c>
      <c r="AD74">
        <f t="shared" si="142"/>
        <v>0</v>
      </c>
      <c r="AE74" s="52">
        <f>FC74/(1-DL74)</f>
        <v>0</v>
      </c>
      <c r="AF74" s="52">
        <f t="shared" si="142"/>
        <v>3.6581194560210927E-4</v>
      </c>
      <c r="AG74" s="52">
        <f t="shared" si="142"/>
        <v>8.9453348801867385E-4</v>
      </c>
      <c r="AH74" s="52">
        <f t="shared" si="142"/>
        <v>2.1874358524635292E-3</v>
      </c>
      <c r="AI74" s="52">
        <f t="shared" si="142"/>
        <v>5.3490178697766068E-3</v>
      </c>
      <c r="AJ74" s="52">
        <f t="shared" si="142"/>
        <v>1.3080151421514268E-2</v>
      </c>
      <c r="AK74" s="52">
        <f t="shared" si="142"/>
        <v>3.1985378508516682E-2</v>
      </c>
      <c r="AL74" s="52">
        <f t="shared" si="142"/>
        <v>7.8215030191028545E-2</v>
      </c>
      <c r="AM74" s="52">
        <f t="shared" si="142"/>
        <v>0.19126210890887133</v>
      </c>
      <c r="AN74" s="52">
        <f t="shared" si="142"/>
        <v>0.46770031559060604</v>
      </c>
      <c r="AO74" s="52">
        <f t="shared" si="142"/>
        <v>1.1436848963522559</v>
      </c>
      <c r="AP74" s="52">
        <f t="shared" si="142"/>
        <v>2.7966950171768206</v>
      </c>
      <c r="AQ74" s="52">
        <f t="shared" si="142"/>
        <v>6.838861861381643</v>
      </c>
      <c r="AR74" s="52">
        <f t="shared" si="142"/>
        <v>16.723322089754834</v>
      </c>
      <c r="AS74" s="52">
        <f>EA74*AT74+FR74</f>
        <v>40.89415861679371</v>
      </c>
      <c r="AT74" s="51">
        <v>100</v>
      </c>
      <c r="AU74" s="58">
        <f t="shared" si="18"/>
        <v>11</v>
      </c>
      <c r="AV74" s="4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50">
        <f t="shared" si="107"/>
        <v>0</v>
      </c>
      <c r="BM74">
        <f t="shared" si="108"/>
        <v>0</v>
      </c>
      <c r="BN74">
        <f t="shared" si="109"/>
        <v>0</v>
      </c>
      <c r="BO74">
        <f t="shared" si="110"/>
        <v>0</v>
      </c>
      <c r="BP74">
        <f t="shared" si="111"/>
        <v>0</v>
      </c>
      <c r="BQ74">
        <f t="shared" si="112"/>
        <v>0</v>
      </c>
      <c r="BR74">
        <f t="shared" si="113"/>
        <v>0</v>
      </c>
      <c r="BS74">
        <f t="shared" si="114"/>
        <v>0</v>
      </c>
      <c r="BT74">
        <f t="shared" si="115"/>
        <v>0</v>
      </c>
      <c r="BU74">
        <f t="shared" si="116"/>
        <v>0</v>
      </c>
      <c r="BV74" s="50">
        <f t="shared" si="117"/>
        <v>0</v>
      </c>
      <c r="BW74" s="50">
        <f t="shared" ref="BW74:BW84" si="143">-($C$16*$C$15/$C$13)*AF32</f>
        <v>0</v>
      </c>
      <c r="BX74" s="50">
        <f t="shared" ref="BX74:BX84" si="144">-($C$16*$C$15/$C$13)*AG32</f>
        <v>0</v>
      </c>
      <c r="BY74" s="50">
        <f t="shared" ref="BY74:BY84" si="145">-($C$16*$C$15/$C$13)*AH32</f>
        <v>0</v>
      </c>
      <c r="BZ74" s="50">
        <f t="shared" ref="BZ74:BZ84" si="146">-($C$16*$C$15/$C$13)*AI32</f>
        <v>0</v>
      </c>
      <c r="CA74" s="50">
        <f t="shared" ref="CA74:CA84" si="147">-($C$16*$C$15/$C$13)*AJ32</f>
        <v>0</v>
      </c>
      <c r="CB74" s="50">
        <f t="shared" ref="CB74:CB84" si="148">-($C$16*$C$15/$C$13)*AK32</f>
        <v>0</v>
      </c>
      <c r="CC74" s="50">
        <f t="shared" ref="CC74:CC84" si="149">-($C$16*$C$15/$C$13)*AL32</f>
        <v>0</v>
      </c>
      <c r="CD74" s="50">
        <f t="shared" ref="CD74:CD84" si="150">-($C$16*$C$15/$C$13)*AM32</f>
        <v>0</v>
      </c>
      <c r="CE74" s="50">
        <f t="shared" ref="CE74:CE84" si="151">-($C$16*$C$15/$C$13)*AN32</f>
        <v>0</v>
      </c>
      <c r="CF74" s="50">
        <f t="shared" ref="CF74:CF84" si="152">-($C$16*$C$15/$C$13)*AO32</f>
        <v>0</v>
      </c>
      <c r="CG74" s="50">
        <f t="shared" ref="CG74:CG84" si="153">-($C$16*$C$15/$C$13)*AP32</f>
        <v>0</v>
      </c>
      <c r="CH74" s="50">
        <f t="shared" ref="CH74:CH84" si="154">-($C$16*$C$15/$C$13)*AQ32</f>
        <v>0</v>
      </c>
      <c r="CI74" s="50">
        <f t="shared" ref="CI74:CI84" si="155">-($C$16*$C$15/$C$13)*AR32</f>
        <v>0</v>
      </c>
      <c r="CJ74" s="50">
        <f t="shared" ref="CJ74:CJ84" si="156">-($C$16*$C$15/$C$13)*AS32</f>
        <v>0</v>
      </c>
      <c r="CK74" s="50">
        <f t="shared" ref="CK74:CK84" si="157">-($C$16*$C$15/$C$13)*AT32</f>
        <v>-343420000</v>
      </c>
      <c r="CM74" s="44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52">
        <v>1</v>
      </c>
      <c r="DD74">
        <f t="shared" ref="DD74:DM74" si="158">$C$20/($C$21-$C$22*DC74)</f>
        <v>0.539293284322932</v>
      </c>
      <c r="DE74">
        <f t="shared" si="158"/>
        <v>0.4319681814909459</v>
      </c>
      <c r="DF74">
        <f t="shared" si="158"/>
        <v>0.41282900386486376</v>
      </c>
      <c r="DG74">
        <f t="shared" si="158"/>
        <v>0.4095927266858736</v>
      </c>
      <c r="DH74">
        <f t="shared" si="158"/>
        <v>0.40905050749740984</v>
      </c>
      <c r="DI74">
        <f t="shared" si="158"/>
        <v>0.40895980224407819</v>
      </c>
      <c r="DJ74">
        <f t="shared" si="158"/>
        <v>0.4089446325237156</v>
      </c>
      <c r="DK74">
        <f t="shared" si="158"/>
        <v>0.40894209562046063</v>
      </c>
      <c r="DL74">
        <f t="shared" si="158"/>
        <v>0.40894167136534132</v>
      </c>
      <c r="DM74" s="52">
        <f t="shared" si="158"/>
        <v>0.40894160041577399</v>
      </c>
      <c r="DN74" s="52">
        <f t="shared" ref="DN74:EB74" si="159">$C$20/($C$21-$C$22*DM74)</f>
        <v>0.40894158855064883</v>
      </c>
      <c r="DO74" s="52">
        <f t="shared" si="159"/>
        <v>0.40894158656640572</v>
      </c>
      <c r="DP74" s="52">
        <f t="shared" si="159"/>
        <v>0.40894158623457427</v>
      </c>
      <c r="DQ74" s="52">
        <f t="shared" si="159"/>
        <v>0.40894158617908111</v>
      </c>
      <c r="DR74" s="52">
        <f t="shared" si="159"/>
        <v>0.40894158616980075</v>
      </c>
      <c r="DS74" s="52">
        <f t="shared" si="159"/>
        <v>0.40894158616824877</v>
      </c>
      <c r="DT74" s="52">
        <f t="shared" si="159"/>
        <v>0.40894158616798926</v>
      </c>
      <c r="DU74" s="52">
        <f t="shared" si="159"/>
        <v>0.4089415861679459</v>
      </c>
      <c r="DV74" s="52">
        <f t="shared" si="159"/>
        <v>0.40894158616793863</v>
      </c>
      <c r="DW74" s="52">
        <f t="shared" si="159"/>
        <v>0.40894158616793735</v>
      </c>
      <c r="DX74" s="52">
        <f t="shared" si="159"/>
        <v>0.40894158616793719</v>
      </c>
      <c r="DY74" s="52">
        <f t="shared" si="159"/>
        <v>0.40894158616793713</v>
      </c>
      <c r="DZ74" s="52">
        <f t="shared" si="159"/>
        <v>0.40894158616793713</v>
      </c>
      <c r="EA74" s="52">
        <f t="shared" si="159"/>
        <v>0.40894158616793713</v>
      </c>
      <c r="EB74" s="52">
        <f t="shared" si="159"/>
        <v>0.40894158616793713</v>
      </c>
      <c r="EC74" s="58">
        <f t="shared" si="22"/>
        <v>11</v>
      </c>
      <c r="ED74" s="44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52">
        <v>0</v>
      </c>
      <c r="EU74">
        <f t="shared" si="119"/>
        <v>0</v>
      </c>
      <c r="EV74">
        <f t="shared" si="120"/>
        <v>0</v>
      </c>
      <c r="EW74">
        <f t="shared" si="121"/>
        <v>0</v>
      </c>
      <c r="EX74">
        <f t="shared" si="122"/>
        <v>0</v>
      </c>
      <c r="EY74">
        <f t="shared" si="123"/>
        <v>0</v>
      </c>
      <c r="EZ74">
        <f t="shared" si="124"/>
        <v>0</v>
      </c>
      <c r="FA74">
        <f t="shared" si="125"/>
        <v>0</v>
      </c>
      <c r="FB74">
        <f t="shared" si="126"/>
        <v>0</v>
      </c>
      <c r="FC74">
        <f t="shared" si="127"/>
        <v>0</v>
      </c>
      <c r="FD74" s="52">
        <f t="shared" si="128"/>
        <v>0</v>
      </c>
      <c r="FE74" s="52">
        <f t="shared" ref="FE74:FE84" si="160">(FD74*$C$22-BW74)/($C$21-$C$22*DM74)</f>
        <v>0</v>
      </c>
      <c r="FF74" s="52">
        <f t="shared" ref="FF74:FF84" si="161">(FE74*$C$22-BX74)/($C$21-$C$22*DN74)</f>
        <v>0</v>
      </c>
      <c r="FG74" s="52">
        <f t="shared" ref="FG74:FG84" si="162">(FF74*$C$22-BY74)/($C$21-$C$22*DO74)</f>
        <v>0</v>
      </c>
      <c r="FH74" s="52">
        <f t="shared" ref="FH74:FH84" si="163">(FG74*$C$22-BZ74)/($C$21-$C$22*DP74)</f>
        <v>0</v>
      </c>
      <c r="FI74" s="52">
        <f t="shared" ref="FI74:FI84" si="164">(FH74*$C$22-CA74)/($C$21-$C$22*DQ74)</f>
        <v>0</v>
      </c>
      <c r="FJ74" s="52">
        <f t="shared" ref="FJ74:FJ84" si="165">(FI74*$C$22-CB74)/($C$21-$C$22*DR74)</f>
        <v>0</v>
      </c>
      <c r="FK74" s="52">
        <f t="shared" ref="FK74:FK84" si="166">(FJ74*$C$22-CC74)/($C$21-$C$22*DS74)</f>
        <v>0</v>
      </c>
      <c r="FL74" s="52">
        <f t="shared" ref="FL74:FL84" si="167">(FK74*$C$22-CD74)/($C$21-$C$22*DT74)</f>
        <v>0</v>
      </c>
      <c r="FM74" s="52">
        <f t="shared" ref="FM74:FM84" si="168">(FL74*$C$22-CE74)/($C$21-$C$22*DU74)</f>
        <v>0</v>
      </c>
      <c r="FN74" s="52">
        <f t="shared" ref="FN74:FN84" si="169">(FM74*$C$22-CF74)/($C$21-$C$22*DV74)</f>
        <v>0</v>
      </c>
      <c r="FO74" s="52">
        <f t="shared" ref="FO74:FO84" si="170">(FN74*$C$22-CG74)/($C$21-$C$22*DW74)</f>
        <v>0</v>
      </c>
      <c r="FP74" s="52">
        <f t="shared" ref="FP74:FP84" si="171">(FO74*$C$22-CH74)/($C$21-$C$22*DX74)</f>
        <v>0</v>
      </c>
      <c r="FQ74" s="52">
        <f t="shared" ref="FQ74:FQ84" si="172">(FP74*$C$22-CI74)/($C$21-$C$22*DY74)</f>
        <v>0</v>
      </c>
      <c r="FR74" s="52">
        <f t="shared" ref="FR74:FR84" si="173">(FQ74*$C$22-CJ74)/($C$21-$C$22*DZ74)</f>
        <v>0</v>
      </c>
      <c r="FS74" s="52">
        <f t="shared" ref="FS74:FS84" si="174">(FR74*$C$22-CK74)/($C$21-$C$22*EA74)</f>
        <v>34.935004856167403</v>
      </c>
    </row>
    <row r="75" spans="5:175">
      <c r="E75" s="4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52">
        <f t="shared" si="142"/>
        <v>6.7416102270192207E-8</v>
      </c>
      <c r="V75">
        <f t="shared" si="142"/>
        <v>6.7416102270192207E-8</v>
      </c>
      <c r="W75">
        <f t="shared" si="142"/>
        <v>1.2500823620459373E-7</v>
      </c>
      <c r="X75">
        <f t="shared" si="142"/>
        <v>2.8939223202302905E-7</v>
      </c>
      <c r="Y75">
        <f t="shared" si="142"/>
        <v>7.0099782068064007E-7</v>
      </c>
      <c r="Z75">
        <f t="shared" si="142"/>
        <v>1.7114508510749312E-6</v>
      </c>
      <c r="AA75">
        <f t="shared" si="142"/>
        <v>4.1839597304148762E-6</v>
      </c>
      <c r="AB75">
        <f t="shared" si="142"/>
        <v>1.0230735899852027E-5</v>
      </c>
      <c r="AC75">
        <f t="shared" si="142"/>
        <v>2.5017410882043363E-5</v>
      </c>
      <c r="AD75">
        <f t="shared" si="142"/>
        <v>6.1175924782422091E-5</v>
      </c>
      <c r="AE75">
        <f t="shared" si="142"/>
        <v>1.4959572248573463E-4</v>
      </c>
      <c r="AF75">
        <f t="shared" si="142"/>
        <v>3.6581194560210927E-4</v>
      </c>
      <c r="AG75">
        <f t="shared" si="142"/>
        <v>8.9453348801867385E-4</v>
      </c>
      <c r="AH75">
        <f t="shared" si="142"/>
        <v>2.1874358524635292E-3</v>
      </c>
      <c r="AI75">
        <f t="shared" si="142"/>
        <v>5.3490178697766068E-3</v>
      </c>
      <c r="AJ75">
        <f t="shared" si="142"/>
        <v>1.3080151421514268E-2</v>
      </c>
      <c r="AK75">
        <f t="shared" si="142"/>
        <v>3.1985378508516682E-2</v>
      </c>
      <c r="AL75">
        <f t="shared" si="142"/>
        <v>7.8215030191028545E-2</v>
      </c>
      <c r="AM75">
        <f t="shared" si="142"/>
        <v>0.19126210890887133</v>
      </c>
      <c r="AN75">
        <f t="shared" si="142"/>
        <v>0.46770031559060604</v>
      </c>
      <c r="AO75">
        <f t="shared" si="142"/>
        <v>1.1436848963522559</v>
      </c>
      <c r="AP75">
        <f t="shared" si="142"/>
        <v>2.7966950171768206</v>
      </c>
      <c r="AQ75">
        <f t="shared" si="142"/>
        <v>6.838861861381643</v>
      </c>
      <c r="AR75">
        <f t="shared" si="142"/>
        <v>16.723322089754834</v>
      </c>
      <c r="AS75">
        <f>EA75*AT75+FR75</f>
        <v>40.89415861679371</v>
      </c>
      <c r="AT75" s="51">
        <v>100</v>
      </c>
      <c r="AU75" s="58">
        <f t="shared" si="18"/>
        <v>10</v>
      </c>
      <c r="AV75" s="46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50">
        <f t="shared" si="107"/>
        <v>0</v>
      </c>
      <c r="BM75">
        <f t="shared" si="108"/>
        <v>0</v>
      </c>
      <c r="BN75">
        <f t="shared" si="109"/>
        <v>0</v>
      </c>
      <c r="BO75">
        <f t="shared" si="110"/>
        <v>0</v>
      </c>
      <c r="BP75">
        <f t="shared" si="111"/>
        <v>0</v>
      </c>
      <c r="BQ75">
        <f t="shared" si="112"/>
        <v>0</v>
      </c>
      <c r="BR75">
        <f t="shared" si="113"/>
        <v>0</v>
      </c>
      <c r="BS75">
        <f t="shared" si="114"/>
        <v>0</v>
      </c>
      <c r="BT75">
        <f t="shared" si="115"/>
        <v>0</v>
      </c>
      <c r="BU75">
        <f t="shared" si="116"/>
        <v>0</v>
      </c>
      <c r="BV75">
        <f t="shared" si="117"/>
        <v>0</v>
      </c>
      <c r="BW75">
        <f t="shared" si="143"/>
        <v>0</v>
      </c>
      <c r="BX75">
        <f t="shared" si="144"/>
        <v>0</v>
      </c>
      <c r="BY75">
        <f t="shared" si="145"/>
        <v>0</v>
      </c>
      <c r="BZ75">
        <f t="shared" si="146"/>
        <v>0</v>
      </c>
      <c r="CA75">
        <f t="shared" si="147"/>
        <v>0</v>
      </c>
      <c r="CB75">
        <f t="shared" si="148"/>
        <v>0</v>
      </c>
      <c r="CC75">
        <f t="shared" si="149"/>
        <v>0</v>
      </c>
      <c r="CD75">
        <f t="shared" si="150"/>
        <v>0</v>
      </c>
      <c r="CE75">
        <f t="shared" si="151"/>
        <v>0</v>
      </c>
      <c r="CF75">
        <f t="shared" si="152"/>
        <v>0</v>
      </c>
      <c r="CG75">
        <f t="shared" si="153"/>
        <v>0</v>
      </c>
      <c r="CH75">
        <f t="shared" si="154"/>
        <v>0</v>
      </c>
      <c r="CI75">
        <f t="shared" si="155"/>
        <v>0</v>
      </c>
      <c r="CJ75">
        <f t="shared" si="156"/>
        <v>0</v>
      </c>
      <c r="CK75" s="50">
        <f t="shared" si="157"/>
        <v>-343420000</v>
      </c>
      <c r="CM75" s="44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52">
        <v>1</v>
      </c>
      <c r="DD75">
        <f t="shared" ref="DD75:DM75" si="175">$C$20/($C$21-$C$22*DC75)</f>
        <v>0.539293284322932</v>
      </c>
      <c r="DE75">
        <f t="shared" si="175"/>
        <v>0.4319681814909459</v>
      </c>
      <c r="DF75">
        <f t="shared" si="175"/>
        <v>0.41282900386486376</v>
      </c>
      <c r="DG75">
        <f t="shared" si="175"/>
        <v>0.4095927266858736</v>
      </c>
      <c r="DH75">
        <f t="shared" si="175"/>
        <v>0.40905050749740984</v>
      </c>
      <c r="DI75">
        <f t="shared" si="175"/>
        <v>0.40895980224407819</v>
      </c>
      <c r="DJ75">
        <f t="shared" si="175"/>
        <v>0.4089446325237156</v>
      </c>
      <c r="DK75">
        <f t="shared" si="175"/>
        <v>0.40894209562046063</v>
      </c>
      <c r="DL75">
        <f t="shared" si="175"/>
        <v>0.40894167136534132</v>
      </c>
      <c r="DM75">
        <f t="shared" si="175"/>
        <v>0.40894160041577399</v>
      </c>
      <c r="DN75">
        <f t="shared" ref="DN75:EB75" si="176">$C$20/($C$21-$C$22*DM75)</f>
        <v>0.40894158855064883</v>
      </c>
      <c r="DO75">
        <f t="shared" si="176"/>
        <v>0.40894158656640572</v>
      </c>
      <c r="DP75">
        <f t="shared" si="176"/>
        <v>0.40894158623457427</v>
      </c>
      <c r="DQ75">
        <f t="shared" si="176"/>
        <v>0.40894158617908111</v>
      </c>
      <c r="DR75">
        <f t="shared" si="176"/>
        <v>0.40894158616980075</v>
      </c>
      <c r="DS75">
        <f t="shared" si="176"/>
        <v>0.40894158616824877</v>
      </c>
      <c r="DT75">
        <f t="shared" si="176"/>
        <v>0.40894158616798926</v>
      </c>
      <c r="DU75">
        <f t="shared" si="176"/>
        <v>0.4089415861679459</v>
      </c>
      <c r="DV75">
        <f t="shared" si="176"/>
        <v>0.40894158616793863</v>
      </c>
      <c r="DW75">
        <f t="shared" si="176"/>
        <v>0.40894158616793735</v>
      </c>
      <c r="DX75">
        <f t="shared" si="176"/>
        <v>0.40894158616793719</v>
      </c>
      <c r="DY75">
        <f t="shared" si="176"/>
        <v>0.40894158616793713</v>
      </c>
      <c r="DZ75">
        <f t="shared" si="176"/>
        <v>0.40894158616793713</v>
      </c>
      <c r="EA75">
        <f t="shared" si="176"/>
        <v>0.40894158616793713</v>
      </c>
      <c r="EB75" s="52">
        <f t="shared" si="176"/>
        <v>0.40894158616793713</v>
      </c>
      <c r="EC75" s="58">
        <f t="shared" si="22"/>
        <v>10</v>
      </c>
      <c r="ED75" s="44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  <c r="EQ75" s="28"/>
      <c r="ER75" s="28"/>
      <c r="ES75" s="28"/>
      <c r="ET75" s="52">
        <v>0</v>
      </c>
      <c r="EU75">
        <f t="shared" si="119"/>
        <v>0</v>
      </c>
      <c r="EV75">
        <f t="shared" si="120"/>
        <v>0</v>
      </c>
      <c r="EW75">
        <f t="shared" si="121"/>
        <v>0</v>
      </c>
      <c r="EX75">
        <f t="shared" si="122"/>
        <v>0</v>
      </c>
      <c r="EY75">
        <f t="shared" si="123"/>
        <v>0</v>
      </c>
      <c r="EZ75">
        <f t="shared" si="124"/>
        <v>0</v>
      </c>
      <c r="FA75">
        <f t="shared" si="125"/>
        <v>0</v>
      </c>
      <c r="FB75">
        <f t="shared" si="126"/>
        <v>0</v>
      </c>
      <c r="FC75">
        <f t="shared" si="127"/>
        <v>0</v>
      </c>
      <c r="FD75">
        <f t="shared" si="128"/>
        <v>0</v>
      </c>
      <c r="FE75">
        <f t="shared" si="160"/>
        <v>0</v>
      </c>
      <c r="FF75">
        <f t="shared" si="161"/>
        <v>0</v>
      </c>
      <c r="FG75">
        <f t="shared" si="162"/>
        <v>0</v>
      </c>
      <c r="FH75">
        <f t="shared" si="163"/>
        <v>0</v>
      </c>
      <c r="FI75">
        <f t="shared" si="164"/>
        <v>0</v>
      </c>
      <c r="FJ75">
        <f t="shared" si="165"/>
        <v>0</v>
      </c>
      <c r="FK75">
        <f t="shared" si="166"/>
        <v>0</v>
      </c>
      <c r="FL75">
        <f t="shared" si="167"/>
        <v>0</v>
      </c>
      <c r="FM75">
        <f t="shared" si="168"/>
        <v>0</v>
      </c>
      <c r="FN75">
        <f t="shared" si="169"/>
        <v>0</v>
      </c>
      <c r="FO75">
        <f t="shared" si="170"/>
        <v>0</v>
      </c>
      <c r="FP75">
        <f t="shared" si="171"/>
        <v>0</v>
      </c>
      <c r="FQ75">
        <f t="shared" si="172"/>
        <v>0</v>
      </c>
      <c r="FR75">
        <f t="shared" si="173"/>
        <v>0</v>
      </c>
      <c r="FS75" s="52">
        <f t="shared" si="174"/>
        <v>34.935004856167403</v>
      </c>
    </row>
    <row r="76" spans="5:175">
      <c r="E76" s="4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52">
        <f t="shared" ref="U76:U84" si="177">DC76*V76+ET76</f>
        <v>6.7416102270192207E-8</v>
      </c>
      <c r="V76">
        <f t="shared" si="142"/>
        <v>6.7416102270192207E-8</v>
      </c>
      <c r="W76">
        <f t="shared" si="142"/>
        <v>1.2500823620459373E-7</v>
      </c>
      <c r="X76">
        <f t="shared" si="142"/>
        <v>2.8939223202302905E-7</v>
      </c>
      <c r="Y76">
        <f t="shared" si="142"/>
        <v>7.0099782068064007E-7</v>
      </c>
      <c r="Z76">
        <f t="shared" si="142"/>
        <v>1.7114508510749312E-6</v>
      </c>
      <c r="AA76">
        <f t="shared" si="142"/>
        <v>4.1839597304148762E-6</v>
      </c>
      <c r="AB76">
        <f t="shared" si="142"/>
        <v>1.0230735899852027E-5</v>
      </c>
      <c r="AC76">
        <f t="shared" si="142"/>
        <v>2.5017410882043363E-5</v>
      </c>
      <c r="AD76">
        <f t="shared" si="142"/>
        <v>6.1175924782422091E-5</v>
      </c>
      <c r="AE76">
        <f t="shared" si="142"/>
        <v>1.4959572248573463E-4</v>
      </c>
      <c r="AF76">
        <f t="shared" si="142"/>
        <v>3.6581194560210927E-4</v>
      </c>
      <c r="AG76">
        <f t="shared" si="142"/>
        <v>8.9453348801867385E-4</v>
      </c>
      <c r="AH76">
        <f t="shared" si="142"/>
        <v>2.1874358524635292E-3</v>
      </c>
      <c r="AI76">
        <f t="shared" si="142"/>
        <v>5.3490178697766068E-3</v>
      </c>
      <c r="AJ76">
        <f t="shared" si="142"/>
        <v>1.3080151421514268E-2</v>
      </c>
      <c r="AK76">
        <f t="shared" si="142"/>
        <v>3.1985378508516682E-2</v>
      </c>
      <c r="AL76">
        <f t="shared" si="142"/>
        <v>7.8215030191028545E-2</v>
      </c>
      <c r="AM76">
        <f t="shared" si="142"/>
        <v>0.19126210890887133</v>
      </c>
      <c r="AN76">
        <f t="shared" si="142"/>
        <v>0.46770031559060604</v>
      </c>
      <c r="AO76">
        <f t="shared" si="142"/>
        <v>1.1436848963522559</v>
      </c>
      <c r="AP76">
        <f t="shared" si="142"/>
        <v>2.7966950171768206</v>
      </c>
      <c r="AQ76">
        <f t="shared" si="142"/>
        <v>6.838861861381643</v>
      </c>
      <c r="AR76">
        <f t="shared" si="142"/>
        <v>16.723322089754834</v>
      </c>
      <c r="AS76">
        <f t="shared" ref="AS75:AS84" si="178">EA76*AT76+FR76</f>
        <v>40.89415861679371</v>
      </c>
      <c r="AT76" s="51">
        <v>100</v>
      </c>
      <c r="AU76" s="58">
        <f t="shared" si="18"/>
        <v>9</v>
      </c>
      <c r="AV76" s="46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50">
        <f t="shared" si="107"/>
        <v>0</v>
      </c>
      <c r="BM76">
        <f t="shared" si="108"/>
        <v>0</v>
      </c>
      <c r="BN76">
        <f t="shared" si="109"/>
        <v>0</v>
      </c>
      <c r="BO76">
        <f t="shared" si="110"/>
        <v>0</v>
      </c>
      <c r="BP76">
        <f t="shared" si="111"/>
        <v>0</v>
      </c>
      <c r="BQ76">
        <f t="shared" si="112"/>
        <v>0</v>
      </c>
      <c r="BR76">
        <f t="shared" si="113"/>
        <v>0</v>
      </c>
      <c r="BS76">
        <f t="shared" si="114"/>
        <v>0</v>
      </c>
      <c r="BT76">
        <f t="shared" si="115"/>
        <v>0</v>
      </c>
      <c r="BU76">
        <f t="shared" si="116"/>
        <v>0</v>
      </c>
      <c r="BV76">
        <f t="shared" si="117"/>
        <v>0</v>
      </c>
      <c r="BW76">
        <f t="shared" si="143"/>
        <v>0</v>
      </c>
      <c r="BX76">
        <f t="shared" si="144"/>
        <v>0</v>
      </c>
      <c r="BY76">
        <f t="shared" si="145"/>
        <v>0</v>
      </c>
      <c r="BZ76">
        <f t="shared" si="146"/>
        <v>0</v>
      </c>
      <c r="CA76">
        <f t="shared" si="147"/>
        <v>0</v>
      </c>
      <c r="CB76">
        <f t="shared" si="148"/>
        <v>0</v>
      </c>
      <c r="CC76">
        <f t="shared" si="149"/>
        <v>0</v>
      </c>
      <c r="CD76">
        <f t="shared" si="150"/>
        <v>0</v>
      </c>
      <c r="CE76">
        <f t="shared" si="151"/>
        <v>0</v>
      </c>
      <c r="CF76">
        <f t="shared" si="152"/>
        <v>0</v>
      </c>
      <c r="CG76">
        <f t="shared" si="153"/>
        <v>0</v>
      </c>
      <c r="CH76">
        <f t="shared" si="154"/>
        <v>0</v>
      </c>
      <c r="CI76">
        <f t="shared" si="155"/>
        <v>0</v>
      </c>
      <c r="CJ76">
        <f t="shared" si="156"/>
        <v>0</v>
      </c>
      <c r="CK76" s="50">
        <f t="shared" si="157"/>
        <v>-343420000</v>
      </c>
      <c r="CM76" s="44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52">
        <v>1</v>
      </c>
      <c r="DD76">
        <f t="shared" ref="DD76:DM76" si="179">$C$20/($C$21-$C$22*DC76)</f>
        <v>0.539293284322932</v>
      </c>
      <c r="DE76">
        <f t="shared" si="179"/>
        <v>0.4319681814909459</v>
      </c>
      <c r="DF76">
        <f t="shared" si="179"/>
        <v>0.41282900386486376</v>
      </c>
      <c r="DG76">
        <f t="shared" si="179"/>
        <v>0.4095927266858736</v>
      </c>
      <c r="DH76">
        <f t="shared" si="179"/>
        <v>0.40905050749740984</v>
      </c>
      <c r="DI76">
        <f t="shared" si="179"/>
        <v>0.40895980224407819</v>
      </c>
      <c r="DJ76">
        <f t="shared" si="179"/>
        <v>0.4089446325237156</v>
      </c>
      <c r="DK76">
        <f t="shared" si="179"/>
        <v>0.40894209562046063</v>
      </c>
      <c r="DL76">
        <f t="shared" si="179"/>
        <v>0.40894167136534132</v>
      </c>
      <c r="DM76">
        <f t="shared" si="179"/>
        <v>0.40894160041577399</v>
      </c>
      <c r="DN76">
        <f t="shared" ref="DN76:EB76" si="180">$C$20/($C$21-$C$22*DM76)</f>
        <v>0.40894158855064883</v>
      </c>
      <c r="DO76">
        <f t="shared" si="180"/>
        <v>0.40894158656640572</v>
      </c>
      <c r="DP76">
        <f t="shared" si="180"/>
        <v>0.40894158623457427</v>
      </c>
      <c r="DQ76">
        <f t="shared" si="180"/>
        <v>0.40894158617908111</v>
      </c>
      <c r="DR76">
        <f t="shared" si="180"/>
        <v>0.40894158616980075</v>
      </c>
      <c r="DS76">
        <f t="shared" si="180"/>
        <v>0.40894158616824877</v>
      </c>
      <c r="DT76">
        <f t="shared" si="180"/>
        <v>0.40894158616798926</v>
      </c>
      <c r="DU76">
        <f t="shared" si="180"/>
        <v>0.4089415861679459</v>
      </c>
      <c r="DV76">
        <f t="shared" si="180"/>
        <v>0.40894158616793863</v>
      </c>
      <c r="DW76">
        <f t="shared" si="180"/>
        <v>0.40894158616793735</v>
      </c>
      <c r="DX76">
        <f t="shared" si="180"/>
        <v>0.40894158616793719</v>
      </c>
      <c r="DY76">
        <f t="shared" si="180"/>
        <v>0.40894158616793713</v>
      </c>
      <c r="DZ76">
        <f t="shared" si="180"/>
        <v>0.40894158616793713</v>
      </c>
      <c r="EA76">
        <f t="shared" si="180"/>
        <v>0.40894158616793713</v>
      </c>
      <c r="EB76" s="52">
        <f t="shared" si="180"/>
        <v>0.40894158616793713</v>
      </c>
      <c r="EC76" s="58">
        <f t="shared" si="22"/>
        <v>9</v>
      </c>
      <c r="ED76" s="44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52">
        <v>0</v>
      </c>
      <c r="EU76">
        <f t="shared" si="119"/>
        <v>0</v>
      </c>
      <c r="EV76">
        <f t="shared" si="120"/>
        <v>0</v>
      </c>
      <c r="EW76">
        <f t="shared" si="121"/>
        <v>0</v>
      </c>
      <c r="EX76">
        <f t="shared" si="122"/>
        <v>0</v>
      </c>
      <c r="EY76">
        <f t="shared" si="123"/>
        <v>0</v>
      </c>
      <c r="EZ76">
        <f t="shared" si="124"/>
        <v>0</v>
      </c>
      <c r="FA76">
        <f t="shared" si="125"/>
        <v>0</v>
      </c>
      <c r="FB76">
        <f t="shared" si="126"/>
        <v>0</v>
      </c>
      <c r="FC76">
        <f t="shared" si="127"/>
        <v>0</v>
      </c>
      <c r="FD76">
        <f t="shared" si="128"/>
        <v>0</v>
      </c>
      <c r="FE76">
        <f t="shared" si="160"/>
        <v>0</v>
      </c>
      <c r="FF76">
        <f t="shared" si="161"/>
        <v>0</v>
      </c>
      <c r="FG76">
        <f t="shared" si="162"/>
        <v>0</v>
      </c>
      <c r="FH76">
        <f t="shared" si="163"/>
        <v>0</v>
      </c>
      <c r="FI76">
        <f t="shared" si="164"/>
        <v>0</v>
      </c>
      <c r="FJ76">
        <f t="shared" si="165"/>
        <v>0</v>
      </c>
      <c r="FK76">
        <f t="shared" si="166"/>
        <v>0</v>
      </c>
      <c r="FL76">
        <f t="shared" si="167"/>
        <v>0</v>
      </c>
      <c r="FM76">
        <f t="shared" si="168"/>
        <v>0</v>
      </c>
      <c r="FN76">
        <f t="shared" si="169"/>
        <v>0</v>
      </c>
      <c r="FO76">
        <f t="shared" si="170"/>
        <v>0</v>
      </c>
      <c r="FP76">
        <f t="shared" si="171"/>
        <v>0</v>
      </c>
      <c r="FQ76">
        <f t="shared" si="172"/>
        <v>0</v>
      </c>
      <c r="FR76">
        <f t="shared" si="173"/>
        <v>0</v>
      </c>
      <c r="FS76" s="52">
        <f t="shared" si="174"/>
        <v>34.935004856167403</v>
      </c>
    </row>
    <row r="77" spans="5:175">
      <c r="E77" s="4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52">
        <f t="shared" si="177"/>
        <v>6.7416102270192207E-8</v>
      </c>
      <c r="V77">
        <f t="shared" si="142"/>
        <v>6.7416102270192207E-8</v>
      </c>
      <c r="W77">
        <f t="shared" si="142"/>
        <v>1.2500823620459373E-7</v>
      </c>
      <c r="X77">
        <f t="shared" si="142"/>
        <v>2.8939223202302905E-7</v>
      </c>
      <c r="Y77">
        <f t="shared" si="142"/>
        <v>7.0099782068064007E-7</v>
      </c>
      <c r="Z77">
        <f t="shared" si="142"/>
        <v>1.7114508510749312E-6</v>
      </c>
      <c r="AA77">
        <f t="shared" si="142"/>
        <v>4.1839597304148762E-6</v>
      </c>
      <c r="AB77">
        <f t="shared" si="142"/>
        <v>1.0230735899852027E-5</v>
      </c>
      <c r="AC77">
        <f t="shared" si="142"/>
        <v>2.5017410882043363E-5</v>
      </c>
      <c r="AD77">
        <f t="shared" si="142"/>
        <v>6.1175924782422091E-5</v>
      </c>
      <c r="AE77">
        <f t="shared" si="142"/>
        <v>1.4959572248573463E-4</v>
      </c>
      <c r="AF77">
        <f t="shared" si="142"/>
        <v>3.6581194560210927E-4</v>
      </c>
      <c r="AG77">
        <f t="shared" si="142"/>
        <v>8.9453348801867385E-4</v>
      </c>
      <c r="AH77">
        <f t="shared" si="142"/>
        <v>2.1874358524635292E-3</v>
      </c>
      <c r="AI77">
        <f t="shared" si="142"/>
        <v>5.3490178697766068E-3</v>
      </c>
      <c r="AJ77">
        <f t="shared" si="142"/>
        <v>1.3080151421514268E-2</v>
      </c>
      <c r="AK77">
        <f t="shared" si="142"/>
        <v>3.1985378508516682E-2</v>
      </c>
      <c r="AL77">
        <f t="shared" si="142"/>
        <v>7.8215030191028545E-2</v>
      </c>
      <c r="AM77">
        <f t="shared" si="142"/>
        <v>0.19126210890887133</v>
      </c>
      <c r="AN77">
        <f t="shared" si="142"/>
        <v>0.46770031559060604</v>
      </c>
      <c r="AO77">
        <f t="shared" si="142"/>
        <v>1.1436848963522559</v>
      </c>
      <c r="AP77">
        <f t="shared" si="142"/>
        <v>2.7966950171768206</v>
      </c>
      <c r="AQ77">
        <f t="shared" si="142"/>
        <v>6.838861861381643</v>
      </c>
      <c r="AR77">
        <f t="shared" si="142"/>
        <v>16.723322089754834</v>
      </c>
      <c r="AS77">
        <f t="shared" si="178"/>
        <v>40.89415861679371</v>
      </c>
      <c r="AT77" s="51">
        <v>100</v>
      </c>
      <c r="AU77" s="58">
        <f t="shared" si="18"/>
        <v>8</v>
      </c>
      <c r="AV77" s="46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50">
        <f t="shared" si="107"/>
        <v>0</v>
      </c>
      <c r="BM77">
        <f t="shared" si="108"/>
        <v>0</v>
      </c>
      <c r="BN77">
        <f t="shared" si="109"/>
        <v>0</v>
      </c>
      <c r="BO77">
        <f t="shared" si="110"/>
        <v>0</v>
      </c>
      <c r="BP77">
        <f t="shared" si="111"/>
        <v>0</v>
      </c>
      <c r="BQ77">
        <f t="shared" si="112"/>
        <v>0</v>
      </c>
      <c r="BR77">
        <f t="shared" si="113"/>
        <v>0</v>
      </c>
      <c r="BS77">
        <f t="shared" si="114"/>
        <v>0</v>
      </c>
      <c r="BT77">
        <f t="shared" si="115"/>
        <v>0</v>
      </c>
      <c r="BU77">
        <f t="shared" si="116"/>
        <v>0</v>
      </c>
      <c r="BV77">
        <f t="shared" si="117"/>
        <v>0</v>
      </c>
      <c r="BW77">
        <f t="shared" si="143"/>
        <v>0</v>
      </c>
      <c r="BX77">
        <f t="shared" si="144"/>
        <v>0</v>
      </c>
      <c r="BY77">
        <f t="shared" si="145"/>
        <v>0</v>
      </c>
      <c r="BZ77">
        <f t="shared" si="146"/>
        <v>0</v>
      </c>
      <c r="CA77">
        <f t="shared" si="147"/>
        <v>0</v>
      </c>
      <c r="CB77">
        <f t="shared" si="148"/>
        <v>0</v>
      </c>
      <c r="CC77">
        <f t="shared" si="149"/>
        <v>0</v>
      </c>
      <c r="CD77">
        <f t="shared" si="150"/>
        <v>0</v>
      </c>
      <c r="CE77">
        <f t="shared" si="151"/>
        <v>0</v>
      </c>
      <c r="CF77">
        <f t="shared" si="152"/>
        <v>0</v>
      </c>
      <c r="CG77">
        <f t="shared" si="153"/>
        <v>0</v>
      </c>
      <c r="CH77">
        <f t="shared" si="154"/>
        <v>0</v>
      </c>
      <c r="CI77">
        <f t="shared" si="155"/>
        <v>0</v>
      </c>
      <c r="CJ77">
        <f t="shared" si="156"/>
        <v>0</v>
      </c>
      <c r="CK77" s="50">
        <f t="shared" si="157"/>
        <v>-343420000</v>
      </c>
      <c r="CM77" s="44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52">
        <v>1</v>
      </c>
      <c r="DD77">
        <f t="shared" ref="DD77:DM77" si="181">$C$20/($C$21-$C$22*DC77)</f>
        <v>0.539293284322932</v>
      </c>
      <c r="DE77">
        <f t="shared" si="181"/>
        <v>0.4319681814909459</v>
      </c>
      <c r="DF77">
        <f t="shared" si="181"/>
        <v>0.41282900386486376</v>
      </c>
      <c r="DG77">
        <f t="shared" si="181"/>
        <v>0.4095927266858736</v>
      </c>
      <c r="DH77">
        <f t="shared" si="181"/>
        <v>0.40905050749740984</v>
      </c>
      <c r="DI77">
        <f t="shared" si="181"/>
        <v>0.40895980224407819</v>
      </c>
      <c r="DJ77">
        <f t="shared" si="181"/>
        <v>0.4089446325237156</v>
      </c>
      <c r="DK77">
        <f t="shared" si="181"/>
        <v>0.40894209562046063</v>
      </c>
      <c r="DL77">
        <f t="shared" si="181"/>
        <v>0.40894167136534132</v>
      </c>
      <c r="DM77">
        <f t="shared" si="181"/>
        <v>0.40894160041577399</v>
      </c>
      <c r="DN77">
        <f t="shared" ref="DN77:EB77" si="182">$C$20/($C$21-$C$22*DM77)</f>
        <v>0.40894158855064883</v>
      </c>
      <c r="DO77">
        <f t="shared" si="182"/>
        <v>0.40894158656640572</v>
      </c>
      <c r="DP77">
        <f t="shared" si="182"/>
        <v>0.40894158623457427</v>
      </c>
      <c r="DQ77">
        <f t="shared" si="182"/>
        <v>0.40894158617908111</v>
      </c>
      <c r="DR77">
        <f t="shared" si="182"/>
        <v>0.40894158616980075</v>
      </c>
      <c r="DS77">
        <f t="shared" si="182"/>
        <v>0.40894158616824877</v>
      </c>
      <c r="DT77">
        <f t="shared" si="182"/>
        <v>0.40894158616798926</v>
      </c>
      <c r="DU77">
        <f t="shared" si="182"/>
        <v>0.4089415861679459</v>
      </c>
      <c r="DV77">
        <f t="shared" si="182"/>
        <v>0.40894158616793863</v>
      </c>
      <c r="DW77">
        <f t="shared" si="182"/>
        <v>0.40894158616793735</v>
      </c>
      <c r="DX77">
        <f t="shared" si="182"/>
        <v>0.40894158616793719</v>
      </c>
      <c r="DY77">
        <f t="shared" si="182"/>
        <v>0.40894158616793713</v>
      </c>
      <c r="DZ77">
        <f t="shared" si="182"/>
        <v>0.40894158616793713</v>
      </c>
      <c r="EA77">
        <f t="shared" si="182"/>
        <v>0.40894158616793713</v>
      </c>
      <c r="EB77" s="52">
        <f t="shared" si="182"/>
        <v>0.40894158616793713</v>
      </c>
      <c r="EC77" s="58">
        <f t="shared" si="22"/>
        <v>8</v>
      </c>
      <c r="ED77" s="44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  <c r="EQ77" s="28"/>
      <c r="ER77" s="28"/>
      <c r="ES77" s="28"/>
      <c r="ET77" s="52">
        <v>0</v>
      </c>
      <c r="EU77">
        <f t="shared" si="119"/>
        <v>0</v>
      </c>
      <c r="EV77">
        <f t="shared" si="120"/>
        <v>0</v>
      </c>
      <c r="EW77">
        <f t="shared" si="121"/>
        <v>0</v>
      </c>
      <c r="EX77">
        <f t="shared" si="122"/>
        <v>0</v>
      </c>
      <c r="EY77">
        <f t="shared" si="123"/>
        <v>0</v>
      </c>
      <c r="EZ77">
        <f t="shared" si="124"/>
        <v>0</v>
      </c>
      <c r="FA77">
        <f t="shared" si="125"/>
        <v>0</v>
      </c>
      <c r="FB77">
        <f t="shared" si="126"/>
        <v>0</v>
      </c>
      <c r="FC77">
        <f t="shared" si="127"/>
        <v>0</v>
      </c>
      <c r="FD77">
        <f t="shared" si="128"/>
        <v>0</v>
      </c>
      <c r="FE77">
        <f t="shared" si="160"/>
        <v>0</v>
      </c>
      <c r="FF77">
        <f t="shared" si="161"/>
        <v>0</v>
      </c>
      <c r="FG77">
        <f t="shared" si="162"/>
        <v>0</v>
      </c>
      <c r="FH77">
        <f t="shared" si="163"/>
        <v>0</v>
      </c>
      <c r="FI77">
        <f t="shared" si="164"/>
        <v>0</v>
      </c>
      <c r="FJ77">
        <f t="shared" si="165"/>
        <v>0</v>
      </c>
      <c r="FK77">
        <f t="shared" si="166"/>
        <v>0</v>
      </c>
      <c r="FL77">
        <f t="shared" si="167"/>
        <v>0</v>
      </c>
      <c r="FM77">
        <f t="shared" si="168"/>
        <v>0</v>
      </c>
      <c r="FN77">
        <f t="shared" si="169"/>
        <v>0</v>
      </c>
      <c r="FO77">
        <f t="shared" si="170"/>
        <v>0</v>
      </c>
      <c r="FP77">
        <f t="shared" si="171"/>
        <v>0</v>
      </c>
      <c r="FQ77">
        <f t="shared" si="172"/>
        <v>0</v>
      </c>
      <c r="FR77">
        <f t="shared" si="173"/>
        <v>0</v>
      </c>
      <c r="FS77" s="52">
        <f t="shared" si="174"/>
        <v>34.935004856167403</v>
      </c>
    </row>
    <row r="78" spans="5:175">
      <c r="E78" s="4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52">
        <f t="shared" si="177"/>
        <v>6.7416102270192207E-8</v>
      </c>
      <c r="V78">
        <f t="shared" si="142"/>
        <v>6.7416102270192207E-8</v>
      </c>
      <c r="W78">
        <f t="shared" si="142"/>
        <v>1.2500823620459373E-7</v>
      </c>
      <c r="X78">
        <f t="shared" si="142"/>
        <v>2.8939223202302905E-7</v>
      </c>
      <c r="Y78">
        <f t="shared" si="142"/>
        <v>7.0099782068064007E-7</v>
      </c>
      <c r="Z78">
        <f t="shared" si="142"/>
        <v>1.7114508510749312E-6</v>
      </c>
      <c r="AA78">
        <f t="shared" si="142"/>
        <v>4.1839597304148762E-6</v>
      </c>
      <c r="AB78">
        <f t="shared" si="142"/>
        <v>1.0230735899852027E-5</v>
      </c>
      <c r="AC78">
        <f t="shared" si="142"/>
        <v>2.5017410882043363E-5</v>
      </c>
      <c r="AD78">
        <f t="shared" si="142"/>
        <v>6.1175924782422091E-5</v>
      </c>
      <c r="AE78">
        <f t="shared" si="142"/>
        <v>1.4959572248573463E-4</v>
      </c>
      <c r="AF78">
        <f t="shared" si="142"/>
        <v>3.6581194560210927E-4</v>
      </c>
      <c r="AG78">
        <f t="shared" si="142"/>
        <v>8.9453348801867385E-4</v>
      </c>
      <c r="AH78">
        <f t="shared" si="142"/>
        <v>2.1874358524635292E-3</v>
      </c>
      <c r="AI78">
        <f t="shared" si="142"/>
        <v>5.3490178697766068E-3</v>
      </c>
      <c r="AJ78">
        <f t="shared" si="142"/>
        <v>1.3080151421514268E-2</v>
      </c>
      <c r="AK78">
        <f t="shared" si="142"/>
        <v>3.1985378508516682E-2</v>
      </c>
      <c r="AL78">
        <f t="shared" si="142"/>
        <v>7.8215030191028545E-2</v>
      </c>
      <c r="AM78">
        <f t="shared" si="142"/>
        <v>0.19126210890887133</v>
      </c>
      <c r="AN78">
        <f t="shared" si="142"/>
        <v>0.46770031559060604</v>
      </c>
      <c r="AO78">
        <f t="shared" si="142"/>
        <v>1.1436848963522559</v>
      </c>
      <c r="AP78">
        <f t="shared" si="142"/>
        <v>2.7966950171768206</v>
      </c>
      <c r="AQ78">
        <f t="shared" si="142"/>
        <v>6.838861861381643</v>
      </c>
      <c r="AR78">
        <f t="shared" si="142"/>
        <v>16.723322089754834</v>
      </c>
      <c r="AS78">
        <f t="shared" si="178"/>
        <v>40.89415861679371</v>
      </c>
      <c r="AT78" s="51">
        <v>100</v>
      </c>
      <c r="AU78" s="58">
        <f t="shared" si="18"/>
        <v>7</v>
      </c>
      <c r="AV78" s="46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50">
        <f t="shared" si="107"/>
        <v>0</v>
      </c>
      <c r="BM78">
        <f t="shared" si="108"/>
        <v>0</v>
      </c>
      <c r="BN78">
        <f t="shared" si="109"/>
        <v>0</v>
      </c>
      <c r="BO78">
        <f t="shared" si="110"/>
        <v>0</v>
      </c>
      <c r="BP78">
        <f t="shared" si="111"/>
        <v>0</v>
      </c>
      <c r="BQ78">
        <f t="shared" si="112"/>
        <v>0</v>
      </c>
      <c r="BR78">
        <f t="shared" si="113"/>
        <v>0</v>
      </c>
      <c r="BS78">
        <f t="shared" si="114"/>
        <v>0</v>
      </c>
      <c r="BT78">
        <f t="shared" si="115"/>
        <v>0</v>
      </c>
      <c r="BU78">
        <f t="shared" si="116"/>
        <v>0</v>
      </c>
      <c r="BV78">
        <f t="shared" si="117"/>
        <v>0</v>
      </c>
      <c r="BW78">
        <f t="shared" si="143"/>
        <v>0</v>
      </c>
      <c r="BX78">
        <f t="shared" si="144"/>
        <v>0</v>
      </c>
      <c r="BY78">
        <f t="shared" si="145"/>
        <v>0</v>
      </c>
      <c r="BZ78">
        <f t="shared" si="146"/>
        <v>0</v>
      </c>
      <c r="CA78">
        <f t="shared" si="147"/>
        <v>0</v>
      </c>
      <c r="CB78">
        <f t="shared" si="148"/>
        <v>0</v>
      </c>
      <c r="CC78">
        <f t="shared" si="149"/>
        <v>0</v>
      </c>
      <c r="CD78">
        <f t="shared" si="150"/>
        <v>0</v>
      </c>
      <c r="CE78">
        <f t="shared" si="151"/>
        <v>0</v>
      </c>
      <c r="CF78">
        <f t="shared" si="152"/>
        <v>0</v>
      </c>
      <c r="CG78">
        <f t="shared" si="153"/>
        <v>0</v>
      </c>
      <c r="CH78">
        <f t="shared" si="154"/>
        <v>0</v>
      </c>
      <c r="CI78">
        <f t="shared" si="155"/>
        <v>0</v>
      </c>
      <c r="CJ78">
        <f t="shared" si="156"/>
        <v>0</v>
      </c>
      <c r="CK78" s="50">
        <f t="shared" si="157"/>
        <v>-343420000</v>
      </c>
      <c r="CM78" s="44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52">
        <v>1</v>
      </c>
      <c r="DD78">
        <f t="shared" ref="DD78:DM78" si="183">$C$20/($C$21-$C$22*DC78)</f>
        <v>0.539293284322932</v>
      </c>
      <c r="DE78">
        <f t="shared" si="183"/>
        <v>0.4319681814909459</v>
      </c>
      <c r="DF78">
        <f t="shared" si="183"/>
        <v>0.41282900386486376</v>
      </c>
      <c r="DG78">
        <f t="shared" si="183"/>
        <v>0.4095927266858736</v>
      </c>
      <c r="DH78">
        <f t="shared" si="183"/>
        <v>0.40905050749740984</v>
      </c>
      <c r="DI78">
        <f t="shared" si="183"/>
        <v>0.40895980224407819</v>
      </c>
      <c r="DJ78">
        <f t="shared" si="183"/>
        <v>0.4089446325237156</v>
      </c>
      <c r="DK78">
        <f t="shared" si="183"/>
        <v>0.40894209562046063</v>
      </c>
      <c r="DL78">
        <f t="shared" si="183"/>
        <v>0.40894167136534132</v>
      </c>
      <c r="DM78">
        <f t="shared" si="183"/>
        <v>0.40894160041577399</v>
      </c>
      <c r="DN78">
        <f t="shared" ref="DN78:EB78" si="184">$C$20/($C$21-$C$22*DM78)</f>
        <v>0.40894158855064883</v>
      </c>
      <c r="DO78">
        <f t="shared" si="184"/>
        <v>0.40894158656640572</v>
      </c>
      <c r="DP78">
        <f t="shared" si="184"/>
        <v>0.40894158623457427</v>
      </c>
      <c r="DQ78">
        <f t="shared" si="184"/>
        <v>0.40894158617908111</v>
      </c>
      <c r="DR78">
        <f t="shared" si="184"/>
        <v>0.40894158616980075</v>
      </c>
      <c r="DS78">
        <f t="shared" si="184"/>
        <v>0.40894158616824877</v>
      </c>
      <c r="DT78">
        <f t="shared" si="184"/>
        <v>0.40894158616798926</v>
      </c>
      <c r="DU78">
        <f t="shared" si="184"/>
        <v>0.4089415861679459</v>
      </c>
      <c r="DV78">
        <f t="shared" si="184"/>
        <v>0.40894158616793863</v>
      </c>
      <c r="DW78">
        <f t="shared" si="184"/>
        <v>0.40894158616793735</v>
      </c>
      <c r="DX78">
        <f t="shared" si="184"/>
        <v>0.40894158616793719</v>
      </c>
      <c r="DY78">
        <f t="shared" si="184"/>
        <v>0.40894158616793713</v>
      </c>
      <c r="DZ78">
        <f t="shared" si="184"/>
        <v>0.40894158616793713</v>
      </c>
      <c r="EA78">
        <f t="shared" si="184"/>
        <v>0.40894158616793713</v>
      </c>
      <c r="EB78" s="52">
        <f t="shared" si="184"/>
        <v>0.40894158616793713</v>
      </c>
      <c r="EC78" s="58">
        <f t="shared" si="22"/>
        <v>7</v>
      </c>
      <c r="ED78" s="44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  <c r="EQ78" s="28"/>
      <c r="ER78" s="28"/>
      <c r="ES78" s="28"/>
      <c r="ET78" s="52">
        <v>0</v>
      </c>
      <c r="EU78">
        <f t="shared" si="119"/>
        <v>0</v>
      </c>
      <c r="EV78">
        <f t="shared" si="120"/>
        <v>0</v>
      </c>
      <c r="EW78">
        <f t="shared" si="121"/>
        <v>0</v>
      </c>
      <c r="EX78">
        <f t="shared" si="122"/>
        <v>0</v>
      </c>
      <c r="EY78">
        <f t="shared" si="123"/>
        <v>0</v>
      </c>
      <c r="EZ78">
        <f t="shared" si="124"/>
        <v>0</v>
      </c>
      <c r="FA78">
        <f t="shared" si="125"/>
        <v>0</v>
      </c>
      <c r="FB78">
        <f t="shared" si="126"/>
        <v>0</v>
      </c>
      <c r="FC78">
        <f t="shared" si="127"/>
        <v>0</v>
      </c>
      <c r="FD78">
        <f t="shared" si="128"/>
        <v>0</v>
      </c>
      <c r="FE78">
        <f t="shared" si="160"/>
        <v>0</v>
      </c>
      <c r="FF78">
        <f t="shared" si="161"/>
        <v>0</v>
      </c>
      <c r="FG78">
        <f t="shared" si="162"/>
        <v>0</v>
      </c>
      <c r="FH78">
        <f t="shared" si="163"/>
        <v>0</v>
      </c>
      <c r="FI78">
        <f t="shared" si="164"/>
        <v>0</v>
      </c>
      <c r="FJ78">
        <f t="shared" si="165"/>
        <v>0</v>
      </c>
      <c r="FK78">
        <f t="shared" si="166"/>
        <v>0</v>
      </c>
      <c r="FL78">
        <f t="shared" si="167"/>
        <v>0</v>
      </c>
      <c r="FM78">
        <f t="shared" si="168"/>
        <v>0</v>
      </c>
      <c r="FN78">
        <f t="shared" si="169"/>
        <v>0</v>
      </c>
      <c r="FO78">
        <f t="shared" si="170"/>
        <v>0</v>
      </c>
      <c r="FP78">
        <f t="shared" si="171"/>
        <v>0</v>
      </c>
      <c r="FQ78">
        <f t="shared" si="172"/>
        <v>0</v>
      </c>
      <c r="FR78">
        <f t="shared" si="173"/>
        <v>0</v>
      </c>
      <c r="FS78" s="52">
        <f t="shared" si="174"/>
        <v>34.935004856167403</v>
      </c>
    </row>
    <row r="79" spans="5:175">
      <c r="E79" s="4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52">
        <f t="shared" si="177"/>
        <v>6.7416102270192207E-8</v>
      </c>
      <c r="V79">
        <f t="shared" si="142"/>
        <v>6.7416102270192207E-8</v>
      </c>
      <c r="W79">
        <f t="shared" si="142"/>
        <v>1.2500823620459373E-7</v>
      </c>
      <c r="X79">
        <f t="shared" si="142"/>
        <v>2.8939223202302905E-7</v>
      </c>
      <c r="Y79">
        <f t="shared" si="142"/>
        <v>7.0099782068064007E-7</v>
      </c>
      <c r="Z79">
        <f t="shared" si="142"/>
        <v>1.7114508510749312E-6</v>
      </c>
      <c r="AA79">
        <f t="shared" si="142"/>
        <v>4.1839597304148762E-6</v>
      </c>
      <c r="AB79">
        <f t="shared" si="142"/>
        <v>1.0230735899852027E-5</v>
      </c>
      <c r="AC79">
        <f t="shared" si="142"/>
        <v>2.5017410882043363E-5</v>
      </c>
      <c r="AD79">
        <f t="shared" si="142"/>
        <v>6.1175924782422091E-5</v>
      </c>
      <c r="AE79">
        <f t="shared" si="142"/>
        <v>1.4959572248573463E-4</v>
      </c>
      <c r="AF79">
        <f t="shared" si="142"/>
        <v>3.6581194560210927E-4</v>
      </c>
      <c r="AG79">
        <f t="shared" si="142"/>
        <v>8.9453348801867385E-4</v>
      </c>
      <c r="AH79">
        <f t="shared" si="142"/>
        <v>2.1874358524635292E-3</v>
      </c>
      <c r="AI79">
        <f t="shared" si="142"/>
        <v>5.3490178697766068E-3</v>
      </c>
      <c r="AJ79">
        <f t="shared" si="142"/>
        <v>1.3080151421514268E-2</v>
      </c>
      <c r="AK79">
        <f t="shared" si="142"/>
        <v>3.1985378508516682E-2</v>
      </c>
      <c r="AL79">
        <f t="shared" si="142"/>
        <v>7.8215030191028545E-2</v>
      </c>
      <c r="AM79">
        <f t="shared" si="142"/>
        <v>0.19126210890887133</v>
      </c>
      <c r="AN79">
        <f t="shared" si="142"/>
        <v>0.46770031559060604</v>
      </c>
      <c r="AO79">
        <f t="shared" si="142"/>
        <v>1.1436848963522559</v>
      </c>
      <c r="AP79">
        <f t="shared" si="142"/>
        <v>2.7966950171768206</v>
      </c>
      <c r="AQ79">
        <f t="shared" si="142"/>
        <v>6.838861861381643</v>
      </c>
      <c r="AR79">
        <f t="shared" si="142"/>
        <v>16.723322089754834</v>
      </c>
      <c r="AS79">
        <f t="shared" si="178"/>
        <v>40.89415861679371</v>
      </c>
      <c r="AT79" s="51">
        <v>100</v>
      </c>
      <c r="AU79" s="58">
        <f t="shared" si="18"/>
        <v>6</v>
      </c>
      <c r="AV79" s="46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50">
        <f t="shared" si="107"/>
        <v>0</v>
      </c>
      <c r="BM79">
        <f t="shared" si="108"/>
        <v>0</v>
      </c>
      <c r="BN79">
        <f t="shared" si="109"/>
        <v>0</v>
      </c>
      <c r="BO79">
        <f t="shared" si="110"/>
        <v>0</v>
      </c>
      <c r="BP79">
        <f t="shared" si="111"/>
        <v>0</v>
      </c>
      <c r="BQ79">
        <f t="shared" si="112"/>
        <v>0</v>
      </c>
      <c r="BR79">
        <f t="shared" si="113"/>
        <v>0</v>
      </c>
      <c r="BS79">
        <f t="shared" si="114"/>
        <v>0</v>
      </c>
      <c r="BT79">
        <f t="shared" si="115"/>
        <v>0</v>
      </c>
      <c r="BU79">
        <f t="shared" si="116"/>
        <v>0</v>
      </c>
      <c r="BV79">
        <f t="shared" si="117"/>
        <v>0</v>
      </c>
      <c r="BW79">
        <f t="shared" si="143"/>
        <v>0</v>
      </c>
      <c r="BX79">
        <f t="shared" si="144"/>
        <v>0</v>
      </c>
      <c r="BY79">
        <f t="shared" si="145"/>
        <v>0</v>
      </c>
      <c r="BZ79">
        <f t="shared" si="146"/>
        <v>0</v>
      </c>
      <c r="CA79">
        <f t="shared" si="147"/>
        <v>0</v>
      </c>
      <c r="CB79">
        <f t="shared" si="148"/>
        <v>0</v>
      </c>
      <c r="CC79">
        <f t="shared" si="149"/>
        <v>0</v>
      </c>
      <c r="CD79">
        <f t="shared" si="150"/>
        <v>0</v>
      </c>
      <c r="CE79">
        <f t="shared" si="151"/>
        <v>0</v>
      </c>
      <c r="CF79">
        <f t="shared" si="152"/>
        <v>0</v>
      </c>
      <c r="CG79">
        <f t="shared" si="153"/>
        <v>0</v>
      </c>
      <c r="CH79">
        <f t="shared" si="154"/>
        <v>0</v>
      </c>
      <c r="CI79">
        <f t="shared" si="155"/>
        <v>0</v>
      </c>
      <c r="CJ79">
        <f t="shared" si="156"/>
        <v>0</v>
      </c>
      <c r="CK79" s="50">
        <f t="shared" si="157"/>
        <v>-343420000</v>
      </c>
      <c r="CM79" s="44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52">
        <v>1</v>
      </c>
      <c r="DD79">
        <f t="shared" ref="DD79:DM79" si="185">$C$20/($C$21-$C$22*DC79)</f>
        <v>0.539293284322932</v>
      </c>
      <c r="DE79">
        <f t="shared" si="185"/>
        <v>0.4319681814909459</v>
      </c>
      <c r="DF79">
        <f t="shared" si="185"/>
        <v>0.41282900386486376</v>
      </c>
      <c r="DG79">
        <f t="shared" si="185"/>
        <v>0.4095927266858736</v>
      </c>
      <c r="DH79">
        <f t="shared" si="185"/>
        <v>0.40905050749740984</v>
      </c>
      <c r="DI79">
        <f t="shared" si="185"/>
        <v>0.40895980224407819</v>
      </c>
      <c r="DJ79">
        <f t="shared" si="185"/>
        <v>0.4089446325237156</v>
      </c>
      <c r="DK79">
        <f t="shared" si="185"/>
        <v>0.40894209562046063</v>
      </c>
      <c r="DL79">
        <f t="shared" si="185"/>
        <v>0.40894167136534132</v>
      </c>
      <c r="DM79">
        <f t="shared" si="185"/>
        <v>0.40894160041577399</v>
      </c>
      <c r="DN79">
        <f t="shared" ref="DN79:EB79" si="186">$C$20/($C$21-$C$22*DM79)</f>
        <v>0.40894158855064883</v>
      </c>
      <c r="DO79">
        <f t="shared" si="186"/>
        <v>0.40894158656640572</v>
      </c>
      <c r="DP79">
        <f t="shared" si="186"/>
        <v>0.40894158623457427</v>
      </c>
      <c r="DQ79">
        <f t="shared" si="186"/>
        <v>0.40894158617908111</v>
      </c>
      <c r="DR79">
        <f t="shared" si="186"/>
        <v>0.40894158616980075</v>
      </c>
      <c r="DS79">
        <f t="shared" si="186"/>
        <v>0.40894158616824877</v>
      </c>
      <c r="DT79">
        <f t="shared" si="186"/>
        <v>0.40894158616798926</v>
      </c>
      <c r="DU79">
        <f t="shared" si="186"/>
        <v>0.4089415861679459</v>
      </c>
      <c r="DV79">
        <f t="shared" si="186"/>
        <v>0.40894158616793863</v>
      </c>
      <c r="DW79">
        <f t="shared" si="186"/>
        <v>0.40894158616793735</v>
      </c>
      <c r="DX79">
        <f t="shared" si="186"/>
        <v>0.40894158616793719</v>
      </c>
      <c r="DY79">
        <f t="shared" si="186"/>
        <v>0.40894158616793713</v>
      </c>
      <c r="DZ79">
        <f t="shared" si="186"/>
        <v>0.40894158616793713</v>
      </c>
      <c r="EA79">
        <f t="shared" si="186"/>
        <v>0.40894158616793713</v>
      </c>
      <c r="EB79" s="52">
        <f t="shared" si="186"/>
        <v>0.40894158616793713</v>
      </c>
      <c r="EC79" s="58">
        <f t="shared" si="22"/>
        <v>6</v>
      </c>
      <c r="ED79" s="44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  <c r="EQ79" s="28"/>
      <c r="ER79" s="28"/>
      <c r="ES79" s="28"/>
      <c r="ET79" s="52">
        <v>0</v>
      </c>
      <c r="EU79">
        <f t="shared" si="119"/>
        <v>0</v>
      </c>
      <c r="EV79">
        <f t="shared" si="120"/>
        <v>0</v>
      </c>
      <c r="EW79">
        <f t="shared" si="121"/>
        <v>0</v>
      </c>
      <c r="EX79">
        <f t="shared" si="122"/>
        <v>0</v>
      </c>
      <c r="EY79">
        <f t="shared" si="123"/>
        <v>0</v>
      </c>
      <c r="EZ79">
        <f t="shared" si="124"/>
        <v>0</v>
      </c>
      <c r="FA79">
        <f t="shared" si="125"/>
        <v>0</v>
      </c>
      <c r="FB79">
        <f t="shared" si="126"/>
        <v>0</v>
      </c>
      <c r="FC79">
        <f t="shared" si="127"/>
        <v>0</v>
      </c>
      <c r="FD79">
        <f t="shared" si="128"/>
        <v>0</v>
      </c>
      <c r="FE79">
        <f t="shared" si="160"/>
        <v>0</v>
      </c>
      <c r="FF79">
        <f t="shared" si="161"/>
        <v>0</v>
      </c>
      <c r="FG79">
        <f t="shared" si="162"/>
        <v>0</v>
      </c>
      <c r="FH79">
        <f t="shared" si="163"/>
        <v>0</v>
      </c>
      <c r="FI79">
        <f t="shared" si="164"/>
        <v>0</v>
      </c>
      <c r="FJ79">
        <f t="shared" si="165"/>
        <v>0</v>
      </c>
      <c r="FK79">
        <f t="shared" si="166"/>
        <v>0</v>
      </c>
      <c r="FL79">
        <f t="shared" si="167"/>
        <v>0</v>
      </c>
      <c r="FM79">
        <f t="shared" si="168"/>
        <v>0</v>
      </c>
      <c r="FN79">
        <f t="shared" si="169"/>
        <v>0</v>
      </c>
      <c r="FO79">
        <f t="shared" si="170"/>
        <v>0</v>
      </c>
      <c r="FP79">
        <f t="shared" si="171"/>
        <v>0</v>
      </c>
      <c r="FQ79">
        <f t="shared" si="172"/>
        <v>0</v>
      </c>
      <c r="FR79">
        <f t="shared" si="173"/>
        <v>0</v>
      </c>
      <c r="FS79" s="52">
        <f t="shared" si="174"/>
        <v>34.935004856167403</v>
      </c>
    </row>
    <row r="80" spans="5:175">
      <c r="E80" s="4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52">
        <f t="shared" si="177"/>
        <v>6.7416102270192207E-8</v>
      </c>
      <c r="V80">
        <f t="shared" si="142"/>
        <v>6.7416102270192207E-8</v>
      </c>
      <c r="W80">
        <f t="shared" si="142"/>
        <v>1.2500823620459373E-7</v>
      </c>
      <c r="X80">
        <f t="shared" si="142"/>
        <v>2.8939223202302905E-7</v>
      </c>
      <c r="Y80">
        <f t="shared" si="142"/>
        <v>7.0099782068064007E-7</v>
      </c>
      <c r="Z80">
        <f t="shared" si="142"/>
        <v>1.7114508510749312E-6</v>
      </c>
      <c r="AA80">
        <f t="shared" si="142"/>
        <v>4.1839597304148762E-6</v>
      </c>
      <c r="AB80">
        <f t="shared" si="142"/>
        <v>1.0230735899852027E-5</v>
      </c>
      <c r="AC80">
        <f t="shared" si="142"/>
        <v>2.5017410882043363E-5</v>
      </c>
      <c r="AD80">
        <f t="shared" si="142"/>
        <v>6.1175924782422091E-5</v>
      </c>
      <c r="AE80">
        <f t="shared" si="142"/>
        <v>1.4959572248573463E-4</v>
      </c>
      <c r="AF80">
        <f t="shared" si="142"/>
        <v>3.6581194560210927E-4</v>
      </c>
      <c r="AG80">
        <f t="shared" si="142"/>
        <v>8.9453348801867385E-4</v>
      </c>
      <c r="AH80">
        <f t="shared" si="142"/>
        <v>2.1874358524635292E-3</v>
      </c>
      <c r="AI80">
        <f t="shared" si="142"/>
        <v>5.3490178697766068E-3</v>
      </c>
      <c r="AJ80">
        <f t="shared" si="142"/>
        <v>1.3080151421514268E-2</v>
      </c>
      <c r="AK80">
        <f t="shared" si="142"/>
        <v>3.1985378508516682E-2</v>
      </c>
      <c r="AL80">
        <f t="shared" si="142"/>
        <v>7.8215030191028545E-2</v>
      </c>
      <c r="AM80">
        <f t="shared" si="142"/>
        <v>0.19126210890887133</v>
      </c>
      <c r="AN80">
        <f t="shared" si="142"/>
        <v>0.46770031559060604</v>
      </c>
      <c r="AO80">
        <f t="shared" si="142"/>
        <v>1.1436848963522559</v>
      </c>
      <c r="AP80">
        <f t="shared" si="142"/>
        <v>2.7966950171768206</v>
      </c>
      <c r="AQ80">
        <f t="shared" si="142"/>
        <v>6.838861861381643</v>
      </c>
      <c r="AR80">
        <f t="shared" si="142"/>
        <v>16.723322089754834</v>
      </c>
      <c r="AS80">
        <f t="shared" si="178"/>
        <v>40.89415861679371</v>
      </c>
      <c r="AT80" s="51">
        <v>100</v>
      </c>
      <c r="AU80" s="58">
        <f t="shared" si="18"/>
        <v>5</v>
      </c>
      <c r="AV80" s="46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50">
        <f t="shared" si="107"/>
        <v>0</v>
      </c>
      <c r="BM80">
        <f t="shared" si="108"/>
        <v>0</v>
      </c>
      <c r="BN80">
        <f t="shared" si="109"/>
        <v>0</v>
      </c>
      <c r="BO80">
        <f t="shared" si="110"/>
        <v>0</v>
      </c>
      <c r="BP80">
        <f t="shared" si="111"/>
        <v>0</v>
      </c>
      <c r="BQ80">
        <f t="shared" si="112"/>
        <v>0</v>
      </c>
      <c r="BR80">
        <f t="shared" si="113"/>
        <v>0</v>
      </c>
      <c r="BS80">
        <f t="shared" si="114"/>
        <v>0</v>
      </c>
      <c r="BT80">
        <f t="shared" si="115"/>
        <v>0</v>
      </c>
      <c r="BU80">
        <f t="shared" si="116"/>
        <v>0</v>
      </c>
      <c r="BV80">
        <f t="shared" si="117"/>
        <v>0</v>
      </c>
      <c r="BW80">
        <f t="shared" si="143"/>
        <v>0</v>
      </c>
      <c r="BX80">
        <f t="shared" si="144"/>
        <v>0</v>
      </c>
      <c r="BY80">
        <f t="shared" si="145"/>
        <v>0</v>
      </c>
      <c r="BZ80">
        <f t="shared" si="146"/>
        <v>0</v>
      </c>
      <c r="CA80">
        <f t="shared" si="147"/>
        <v>0</v>
      </c>
      <c r="CB80">
        <f t="shared" si="148"/>
        <v>0</v>
      </c>
      <c r="CC80">
        <f t="shared" si="149"/>
        <v>0</v>
      </c>
      <c r="CD80">
        <f t="shared" si="150"/>
        <v>0</v>
      </c>
      <c r="CE80">
        <f t="shared" si="151"/>
        <v>0</v>
      </c>
      <c r="CF80">
        <f t="shared" si="152"/>
        <v>0</v>
      </c>
      <c r="CG80">
        <f t="shared" si="153"/>
        <v>0</v>
      </c>
      <c r="CH80">
        <f t="shared" si="154"/>
        <v>0</v>
      </c>
      <c r="CI80">
        <f t="shared" si="155"/>
        <v>0</v>
      </c>
      <c r="CJ80">
        <f t="shared" si="156"/>
        <v>0</v>
      </c>
      <c r="CK80" s="50">
        <f t="shared" si="157"/>
        <v>-343420000</v>
      </c>
      <c r="CM80" s="44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52">
        <v>1</v>
      </c>
      <c r="DD80">
        <f t="shared" ref="DD80:DM80" si="187">$C$20/($C$21-$C$22*DC80)</f>
        <v>0.539293284322932</v>
      </c>
      <c r="DE80">
        <f t="shared" si="187"/>
        <v>0.4319681814909459</v>
      </c>
      <c r="DF80">
        <f t="shared" si="187"/>
        <v>0.41282900386486376</v>
      </c>
      <c r="DG80">
        <f t="shared" si="187"/>
        <v>0.4095927266858736</v>
      </c>
      <c r="DH80">
        <f t="shared" si="187"/>
        <v>0.40905050749740984</v>
      </c>
      <c r="DI80">
        <f t="shared" si="187"/>
        <v>0.40895980224407819</v>
      </c>
      <c r="DJ80">
        <f t="shared" si="187"/>
        <v>0.4089446325237156</v>
      </c>
      <c r="DK80">
        <f t="shared" si="187"/>
        <v>0.40894209562046063</v>
      </c>
      <c r="DL80">
        <f t="shared" si="187"/>
        <v>0.40894167136534132</v>
      </c>
      <c r="DM80">
        <f t="shared" si="187"/>
        <v>0.40894160041577399</v>
      </c>
      <c r="DN80">
        <f t="shared" ref="DN80:EB80" si="188">$C$20/($C$21-$C$22*DM80)</f>
        <v>0.40894158855064883</v>
      </c>
      <c r="DO80">
        <f t="shared" si="188"/>
        <v>0.40894158656640572</v>
      </c>
      <c r="DP80">
        <f t="shared" si="188"/>
        <v>0.40894158623457427</v>
      </c>
      <c r="DQ80">
        <f t="shared" si="188"/>
        <v>0.40894158617908111</v>
      </c>
      <c r="DR80">
        <f t="shared" si="188"/>
        <v>0.40894158616980075</v>
      </c>
      <c r="DS80">
        <f t="shared" si="188"/>
        <v>0.40894158616824877</v>
      </c>
      <c r="DT80">
        <f t="shared" si="188"/>
        <v>0.40894158616798926</v>
      </c>
      <c r="DU80">
        <f t="shared" si="188"/>
        <v>0.4089415861679459</v>
      </c>
      <c r="DV80">
        <f t="shared" si="188"/>
        <v>0.40894158616793863</v>
      </c>
      <c r="DW80">
        <f t="shared" si="188"/>
        <v>0.40894158616793735</v>
      </c>
      <c r="DX80">
        <f t="shared" si="188"/>
        <v>0.40894158616793719</v>
      </c>
      <c r="DY80">
        <f t="shared" si="188"/>
        <v>0.40894158616793713</v>
      </c>
      <c r="DZ80">
        <f t="shared" si="188"/>
        <v>0.40894158616793713</v>
      </c>
      <c r="EA80">
        <f t="shared" si="188"/>
        <v>0.40894158616793713</v>
      </c>
      <c r="EB80" s="52">
        <f t="shared" si="188"/>
        <v>0.40894158616793713</v>
      </c>
      <c r="EC80" s="58">
        <f t="shared" si="22"/>
        <v>5</v>
      </c>
      <c r="ED80" s="44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52">
        <v>0</v>
      </c>
      <c r="EU80">
        <f t="shared" si="119"/>
        <v>0</v>
      </c>
      <c r="EV80">
        <f t="shared" si="120"/>
        <v>0</v>
      </c>
      <c r="EW80">
        <f t="shared" si="121"/>
        <v>0</v>
      </c>
      <c r="EX80">
        <f t="shared" si="122"/>
        <v>0</v>
      </c>
      <c r="EY80">
        <f t="shared" si="123"/>
        <v>0</v>
      </c>
      <c r="EZ80">
        <f t="shared" si="124"/>
        <v>0</v>
      </c>
      <c r="FA80">
        <f t="shared" si="125"/>
        <v>0</v>
      </c>
      <c r="FB80">
        <f t="shared" si="126"/>
        <v>0</v>
      </c>
      <c r="FC80">
        <f t="shared" si="127"/>
        <v>0</v>
      </c>
      <c r="FD80">
        <f t="shared" si="128"/>
        <v>0</v>
      </c>
      <c r="FE80">
        <f t="shared" si="160"/>
        <v>0</v>
      </c>
      <c r="FF80">
        <f t="shared" si="161"/>
        <v>0</v>
      </c>
      <c r="FG80">
        <f t="shared" si="162"/>
        <v>0</v>
      </c>
      <c r="FH80">
        <f t="shared" si="163"/>
        <v>0</v>
      </c>
      <c r="FI80">
        <f t="shared" si="164"/>
        <v>0</v>
      </c>
      <c r="FJ80">
        <f t="shared" si="165"/>
        <v>0</v>
      </c>
      <c r="FK80">
        <f t="shared" si="166"/>
        <v>0</v>
      </c>
      <c r="FL80">
        <f t="shared" si="167"/>
        <v>0</v>
      </c>
      <c r="FM80">
        <f t="shared" si="168"/>
        <v>0</v>
      </c>
      <c r="FN80">
        <f t="shared" si="169"/>
        <v>0</v>
      </c>
      <c r="FO80">
        <f t="shared" si="170"/>
        <v>0</v>
      </c>
      <c r="FP80">
        <f t="shared" si="171"/>
        <v>0</v>
      </c>
      <c r="FQ80">
        <f t="shared" si="172"/>
        <v>0</v>
      </c>
      <c r="FR80">
        <f t="shared" si="173"/>
        <v>0</v>
      </c>
      <c r="FS80" s="52">
        <f t="shared" si="174"/>
        <v>34.935004856167403</v>
      </c>
    </row>
    <row r="81" spans="5:175">
      <c r="E81" s="4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52">
        <f t="shared" si="177"/>
        <v>6.7416102270192207E-8</v>
      </c>
      <c r="V81">
        <f t="shared" si="142"/>
        <v>6.7416102270192207E-8</v>
      </c>
      <c r="W81">
        <f t="shared" si="142"/>
        <v>1.2500823620459373E-7</v>
      </c>
      <c r="X81">
        <f t="shared" si="142"/>
        <v>2.8939223202302905E-7</v>
      </c>
      <c r="Y81">
        <f t="shared" si="142"/>
        <v>7.0099782068064007E-7</v>
      </c>
      <c r="Z81">
        <f t="shared" si="142"/>
        <v>1.7114508510749312E-6</v>
      </c>
      <c r="AA81">
        <f t="shared" si="142"/>
        <v>4.1839597304148762E-6</v>
      </c>
      <c r="AB81">
        <f t="shared" si="142"/>
        <v>1.0230735899852027E-5</v>
      </c>
      <c r="AC81">
        <f t="shared" si="142"/>
        <v>2.5017410882043363E-5</v>
      </c>
      <c r="AD81">
        <f t="shared" si="142"/>
        <v>6.1175924782422091E-5</v>
      </c>
      <c r="AE81">
        <f t="shared" si="142"/>
        <v>1.4959572248573463E-4</v>
      </c>
      <c r="AF81">
        <f t="shared" si="142"/>
        <v>3.6581194560210927E-4</v>
      </c>
      <c r="AG81">
        <f t="shared" si="142"/>
        <v>8.9453348801867385E-4</v>
      </c>
      <c r="AH81">
        <f t="shared" si="142"/>
        <v>2.1874358524635292E-3</v>
      </c>
      <c r="AI81">
        <f t="shared" si="142"/>
        <v>5.3490178697766068E-3</v>
      </c>
      <c r="AJ81">
        <f t="shared" si="142"/>
        <v>1.3080151421514268E-2</v>
      </c>
      <c r="AK81">
        <f t="shared" si="142"/>
        <v>3.1985378508516682E-2</v>
      </c>
      <c r="AL81">
        <f t="shared" si="142"/>
        <v>7.8215030191028545E-2</v>
      </c>
      <c r="AM81">
        <f t="shared" si="142"/>
        <v>0.19126210890887133</v>
      </c>
      <c r="AN81">
        <f t="shared" si="142"/>
        <v>0.46770031559060604</v>
      </c>
      <c r="AO81">
        <f t="shared" si="142"/>
        <v>1.1436848963522559</v>
      </c>
      <c r="AP81">
        <f t="shared" si="142"/>
        <v>2.7966950171768206</v>
      </c>
      <c r="AQ81">
        <f t="shared" si="142"/>
        <v>6.838861861381643</v>
      </c>
      <c r="AR81">
        <f t="shared" si="142"/>
        <v>16.723322089754834</v>
      </c>
      <c r="AS81">
        <f t="shared" si="178"/>
        <v>40.89415861679371</v>
      </c>
      <c r="AT81" s="51">
        <v>100</v>
      </c>
      <c r="AU81" s="58">
        <f t="shared" si="18"/>
        <v>4</v>
      </c>
      <c r="AV81" s="46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50">
        <f t="shared" si="107"/>
        <v>0</v>
      </c>
      <c r="BM81">
        <f t="shared" si="108"/>
        <v>0</v>
      </c>
      <c r="BN81">
        <f t="shared" si="109"/>
        <v>0</v>
      </c>
      <c r="BO81">
        <f t="shared" si="110"/>
        <v>0</v>
      </c>
      <c r="BP81">
        <f t="shared" si="111"/>
        <v>0</v>
      </c>
      <c r="BQ81">
        <f t="shared" si="112"/>
        <v>0</v>
      </c>
      <c r="BR81">
        <f t="shared" si="113"/>
        <v>0</v>
      </c>
      <c r="BS81">
        <f t="shared" si="114"/>
        <v>0</v>
      </c>
      <c r="BT81">
        <f t="shared" si="115"/>
        <v>0</v>
      </c>
      <c r="BU81">
        <f t="shared" si="116"/>
        <v>0</v>
      </c>
      <c r="BV81">
        <f t="shared" si="117"/>
        <v>0</v>
      </c>
      <c r="BW81">
        <f t="shared" si="143"/>
        <v>0</v>
      </c>
      <c r="BX81">
        <f t="shared" si="144"/>
        <v>0</v>
      </c>
      <c r="BY81">
        <f t="shared" si="145"/>
        <v>0</v>
      </c>
      <c r="BZ81">
        <f t="shared" si="146"/>
        <v>0</v>
      </c>
      <c r="CA81">
        <f t="shared" si="147"/>
        <v>0</v>
      </c>
      <c r="CB81">
        <f t="shared" si="148"/>
        <v>0</v>
      </c>
      <c r="CC81">
        <f t="shared" si="149"/>
        <v>0</v>
      </c>
      <c r="CD81">
        <f t="shared" si="150"/>
        <v>0</v>
      </c>
      <c r="CE81">
        <f t="shared" si="151"/>
        <v>0</v>
      </c>
      <c r="CF81">
        <f t="shared" si="152"/>
        <v>0</v>
      </c>
      <c r="CG81">
        <f t="shared" si="153"/>
        <v>0</v>
      </c>
      <c r="CH81">
        <f t="shared" si="154"/>
        <v>0</v>
      </c>
      <c r="CI81">
        <f t="shared" si="155"/>
        <v>0</v>
      </c>
      <c r="CJ81">
        <f t="shared" si="156"/>
        <v>0</v>
      </c>
      <c r="CK81" s="50">
        <f t="shared" si="157"/>
        <v>-343420000</v>
      </c>
      <c r="CM81" s="44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52">
        <v>1</v>
      </c>
      <c r="DD81">
        <f t="shared" ref="DD81:DM81" si="189">$C$20/($C$21-$C$22*DC81)</f>
        <v>0.539293284322932</v>
      </c>
      <c r="DE81">
        <f t="shared" si="189"/>
        <v>0.4319681814909459</v>
      </c>
      <c r="DF81">
        <f t="shared" si="189"/>
        <v>0.41282900386486376</v>
      </c>
      <c r="DG81">
        <f t="shared" si="189"/>
        <v>0.4095927266858736</v>
      </c>
      <c r="DH81">
        <f t="shared" si="189"/>
        <v>0.40905050749740984</v>
      </c>
      <c r="DI81">
        <f t="shared" si="189"/>
        <v>0.40895980224407819</v>
      </c>
      <c r="DJ81">
        <f t="shared" si="189"/>
        <v>0.4089446325237156</v>
      </c>
      <c r="DK81">
        <f t="shared" si="189"/>
        <v>0.40894209562046063</v>
      </c>
      <c r="DL81">
        <f t="shared" si="189"/>
        <v>0.40894167136534132</v>
      </c>
      <c r="DM81">
        <f t="shared" si="189"/>
        <v>0.40894160041577399</v>
      </c>
      <c r="DN81">
        <f t="shared" ref="DN81:EB81" si="190">$C$20/($C$21-$C$22*DM81)</f>
        <v>0.40894158855064883</v>
      </c>
      <c r="DO81">
        <f t="shared" si="190"/>
        <v>0.40894158656640572</v>
      </c>
      <c r="DP81">
        <f t="shared" si="190"/>
        <v>0.40894158623457427</v>
      </c>
      <c r="DQ81">
        <f t="shared" si="190"/>
        <v>0.40894158617908111</v>
      </c>
      <c r="DR81">
        <f t="shared" si="190"/>
        <v>0.40894158616980075</v>
      </c>
      <c r="DS81">
        <f t="shared" si="190"/>
        <v>0.40894158616824877</v>
      </c>
      <c r="DT81">
        <f t="shared" si="190"/>
        <v>0.40894158616798926</v>
      </c>
      <c r="DU81">
        <f t="shared" si="190"/>
        <v>0.4089415861679459</v>
      </c>
      <c r="DV81">
        <f t="shared" si="190"/>
        <v>0.40894158616793863</v>
      </c>
      <c r="DW81">
        <f t="shared" si="190"/>
        <v>0.40894158616793735</v>
      </c>
      <c r="DX81">
        <f t="shared" si="190"/>
        <v>0.40894158616793719</v>
      </c>
      <c r="DY81">
        <f t="shared" si="190"/>
        <v>0.40894158616793713</v>
      </c>
      <c r="DZ81">
        <f t="shared" si="190"/>
        <v>0.40894158616793713</v>
      </c>
      <c r="EA81">
        <f t="shared" si="190"/>
        <v>0.40894158616793713</v>
      </c>
      <c r="EB81" s="52">
        <f t="shared" si="190"/>
        <v>0.40894158616793713</v>
      </c>
      <c r="EC81" s="58">
        <f t="shared" si="22"/>
        <v>4</v>
      </c>
      <c r="ED81" s="44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  <c r="EQ81" s="28"/>
      <c r="ER81" s="28"/>
      <c r="ES81" s="28"/>
      <c r="ET81" s="52">
        <v>0</v>
      </c>
      <c r="EU81">
        <f t="shared" si="119"/>
        <v>0</v>
      </c>
      <c r="EV81">
        <f t="shared" si="120"/>
        <v>0</v>
      </c>
      <c r="EW81">
        <f t="shared" si="121"/>
        <v>0</v>
      </c>
      <c r="EX81">
        <f t="shared" si="122"/>
        <v>0</v>
      </c>
      <c r="EY81">
        <f t="shared" si="123"/>
        <v>0</v>
      </c>
      <c r="EZ81">
        <f t="shared" si="124"/>
        <v>0</v>
      </c>
      <c r="FA81">
        <f t="shared" si="125"/>
        <v>0</v>
      </c>
      <c r="FB81">
        <f t="shared" si="126"/>
        <v>0</v>
      </c>
      <c r="FC81">
        <f t="shared" si="127"/>
        <v>0</v>
      </c>
      <c r="FD81">
        <f t="shared" si="128"/>
        <v>0</v>
      </c>
      <c r="FE81">
        <f t="shared" si="160"/>
        <v>0</v>
      </c>
      <c r="FF81">
        <f t="shared" si="161"/>
        <v>0</v>
      </c>
      <c r="FG81">
        <f t="shared" si="162"/>
        <v>0</v>
      </c>
      <c r="FH81">
        <f t="shared" si="163"/>
        <v>0</v>
      </c>
      <c r="FI81">
        <f t="shared" si="164"/>
        <v>0</v>
      </c>
      <c r="FJ81">
        <f t="shared" si="165"/>
        <v>0</v>
      </c>
      <c r="FK81">
        <f t="shared" si="166"/>
        <v>0</v>
      </c>
      <c r="FL81">
        <f t="shared" si="167"/>
        <v>0</v>
      </c>
      <c r="FM81">
        <f t="shared" si="168"/>
        <v>0</v>
      </c>
      <c r="FN81">
        <f t="shared" si="169"/>
        <v>0</v>
      </c>
      <c r="FO81">
        <f t="shared" si="170"/>
        <v>0</v>
      </c>
      <c r="FP81">
        <f t="shared" si="171"/>
        <v>0</v>
      </c>
      <c r="FQ81">
        <f t="shared" si="172"/>
        <v>0</v>
      </c>
      <c r="FR81">
        <f t="shared" si="173"/>
        <v>0</v>
      </c>
      <c r="FS81" s="52">
        <f t="shared" si="174"/>
        <v>34.935004856167403</v>
      </c>
    </row>
    <row r="82" spans="5:175">
      <c r="E82" s="4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52">
        <f t="shared" si="177"/>
        <v>6.7416102270192207E-8</v>
      </c>
      <c r="V82">
        <f t="shared" si="142"/>
        <v>6.7416102270192207E-8</v>
      </c>
      <c r="W82">
        <f t="shared" si="142"/>
        <v>1.2500823620459373E-7</v>
      </c>
      <c r="X82">
        <f t="shared" si="142"/>
        <v>2.8939223202302905E-7</v>
      </c>
      <c r="Y82">
        <f t="shared" si="142"/>
        <v>7.0099782068064007E-7</v>
      </c>
      <c r="Z82">
        <f t="shared" si="142"/>
        <v>1.7114508510749312E-6</v>
      </c>
      <c r="AA82">
        <f t="shared" si="142"/>
        <v>4.1839597304148762E-6</v>
      </c>
      <c r="AB82">
        <f t="shared" si="142"/>
        <v>1.0230735899852027E-5</v>
      </c>
      <c r="AC82">
        <f t="shared" si="142"/>
        <v>2.5017410882043363E-5</v>
      </c>
      <c r="AD82">
        <f t="shared" si="142"/>
        <v>6.1175924782422091E-5</v>
      </c>
      <c r="AE82">
        <f t="shared" si="142"/>
        <v>1.4959572248573463E-4</v>
      </c>
      <c r="AF82">
        <f t="shared" si="142"/>
        <v>3.6581194560210927E-4</v>
      </c>
      <c r="AG82">
        <f t="shared" si="142"/>
        <v>8.9453348801867385E-4</v>
      </c>
      <c r="AH82">
        <f t="shared" si="142"/>
        <v>2.1874358524635292E-3</v>
      </c>
      <c r="AI82">
        <f t="shared" si="142"/>
        <v>5.3490178697766068E-3</v>
      </c>
      <c r="AJ82">
        <f t="shared" si="142"/>
        <v>1.3080151421514268E-2</v>
      </c>
      <c r="AK82">
        <f t="shared" si="142"/>
        <v>3.1985378508516682E-2</v>
      </c>
      <c r="AL82">
        <f t="shared" si="142"/>
        <v>7.8215030191028545E-2</v>
      </c>
      <c r="AM82">
        <f t="shared" si="142"/>
        <v>0.19126210890887133</v>
      </c>
      <c r="AN82">
        <f t="shared" si="142"/>
        <v>0.46770031559060604</v>
      </c>
      <c r="AO82">
        <f t="shared" si="142"/>
        <v>1.1436848963522559</v>
      </c>
      <c r="AP82">
        <f t="shared" si="142"/>
        <v>2.7966950171768206</v>
      </c>
      <c r="AQ82">
        <f t="shared" si="142"/>
        <v>6.838861861381643</v>
      </c>
      <c r="AR82">
        <f t="shared" si="142"/>
        <v>16.723322089754834</v>
      </c>
      <c r="AS82">
        <f t="shared" si="178"/>
        <v>40.89415861679371</v>
      </c>
      <c r="AT82" s="51">
        <v>100</v>
      </c>
      <c r="AU82" s="58">
        <f t="shared" si="18"/>
        <v>3</v>
      </c>
      <c r="AV82" s="46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50">
        <f t="shared" si="107"/>
        <v>0</v>
      </c>
      <c r="BM82">
        <f t="shared" si="108"/>
        <v>0</v>
      </c>
      <c r="BN82">
        <f t="shared" si="109"/>
        <v>0</v>
      </c>
      <c r="BO82">
        <f t="shared" si="110"/>
        <v>0</v>
      </c>
      <c r="BP82">
        <f t="shared" si="111"/>
        <v>0</v>
      </c>
      <c r="BQ82">
        <f t="shared" si="112"/>
        <v>0</v>
      </c>
      <c r="BR82">
        <f t="shared" si="113"/>
        <v>0</v>
      </c>
      <c r="BS82">
        <f t="shared" si="114"/>
        <v>0</v>
      </c>
      <c r="BT82">
        <f t="shared" si="115"/>
        <v>0</v>
      </c>
      <c r="BU82">
        <f t="shared" si="116"/>
        <v>0</v>
      </c>
      <c r="BV82">
        <f t="shared" si="117"/>
        <v>0</v>
      </c>
      <c r="BW82">
        <f t="shared" si="143"/>
        <v>0</v>
      </c>
      <c r="BX82">
        <f t="shared" si="144"/>
        <v>0</v>
      </c>
      <c r="BY82">
        <f t="shared" si="145"/>
        <v>0</v>
      </c>
      <c r="BZ82">
        <f t="shared" si="146"/>
        <v>0</v>
      </c>
      <c r="CA82">
        <f t="shared" si="147"/>
        <v>0</v>
      </c>
      <c r="CB82">
        <f t="shared" si="148"/>
        <v>0</v>
      </c>
      <c r="CC82">
        <f t="shared" si="149"/>
        <v>0</v>
      </c>
      <c r="CD82">
        <f t="shared" si="150"/>
        <v>0</v>
      </c>
      <c r="CE82">
        <f t="shared" si="151"/>
        <v>0</v>
      </c>
      <c r="CF82">
        <f t="shared" si="152"/>
        <v>0</v>
      </c>
      <c r="CG82">
        <f t="shared" si="153"/>
        <v>0</v>
      </c>
      <c r="CH82">
        <f t="shared" si="154"/>
        <v>0</v>
      </c>
      <c r="CI82">
        <f t="shared" si="155"/>
        <v>0</v>
      </c>
      <c r="CJ82">
        <f t="shared" si="156"/>
        <v>0</v>
      </c>
      <c r="CK82" s="50">
        <f t="shared" si="157"/>
        <v>-343420000</v>
      </c>
      <c r="CM82" s="44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52">
        <v>1</v>
      </c>
      <c r="DD82">
        <f t="shared" ref="DD82:DM82" si="191">$C$20/($C$21-$C$22*DC82)</f>
        <v>0.539293284322932</v>
      </c>
      <c r="DE82">
        <f t="shared" si="191"/>
        <v>0.4319681814909459</v>
      </c>
      <c r="DF82">
        <f t="shared" si="191"/>
        <v>0.41282900386486376</v>
      </c>
      <c r="DG82">
        <f t="shared" si="191"/>
        <v>0.4095927266858736</v>
      </c>
      <c r="DH82">
        <f t="shared" si="191"/>
        <v>0.40905050749740984</v>
      </c>
      <c r="DI82">
        <f t="shared" si="191"/>
        <v>0.40895980224407819</v>
      </c>
      <c r="DJ82">
        <f t="shared" si="191"/>
        <v>0.4089446325237156</v>
      </c>
      <c r="DK82">
        <f t="shared" si="191"/>
        <v>0.40894209562046063</v>
      </c>
      <c r="DL82">
        <f t="shared" si="191"/>
        <v>0.40894167136534132</v>
      </c>
      <c r="DM82">
        <f t="shared" si="191"/>
        <v>0.40894160041577399</v>
      </c>
      <c r="DN82">
        <f t="shared" ref="DN82:EB82" si="192">$C$20/($C$21-$C$22*DM82)</f>
        <v>0.40894158855064883</v>
      </c>
      <c r="DO82">
        <f t="shared" si="192"/>
        <v>0.40894158656640572</v>
      </c>
      <c r="DP82">
        <f t="shared" si="192"/>
        <v>0.40894158623457427</v>
      </c>
      <c r="DQ82">
        <f t="shared" si="192"/>
        <v>0.40894158617908111</v>
      </c>
      <c r="DR82">
        <f t="shared" si="192"/>
        <v>0.40894158616980075</v>
      </c>
      <c r="DS82">
        <f t="shared" si="192"/>
        <v>0.40894158616824877</v>
      </c>
      <c r="DT82">
        <f t="shared" si="192"/>
        <v>0.40894158616798926</v>
      </c>
      <c r="DU82">
        <f t="shared" si="192"/>
        <v>0.4089415861679459</v>
      </c>
      <c r="DV82">
        <f t="shared" si="192"/>
        <v>0.40894158616793863</v>
      </c>
      <c r="DW82">
        <f t="shared" si="192"/>
        <v>0.40894158616793735</v>
      </c>
      <c r="DX82">
        <f t="shared" si="192"/>
        <v>0.40894158616793719</v>
      </c>
      <c r="DY82">
        <f t="shared" si="192"/>
        <v>0.40894158616793713</v>
      </c>
      <c r="DZ82">
        <f t="shared" si="192"/>
        <v>0.40894158616793713</v>
      </c>
      <c r="EA82">
        <f t="shared" si="192"/>
        <v>0.40894158616793713</v>
      </c>
      <c r="EB82" s="52">
        <f t="shared" si="192"/>
        <v>0.40894158616793713</v>
      </c>
      <c r="EC82" s="58">
        <f t="shared" si="22"/>
        <v>3</v>
      </c>
      <c r="ED82" s="44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  <c r="EQ82" s="28"/>
      <c r="ER82" s="28"/>
      <c r="ES82" s="28"/>
      <c r="ET82" s="52">
        <v>0</v>
      </c>
      <c r="EU82">
        <f t="shared" si="119"/>
        <v>0</v>
      </c>
      <c r="EV82">
        <f t="shared" si="120"/>
        <v>0</v>
      </c>
      <c r="EW82">
        <f t="shared" si="121"/>
        <v>0</v>
      </c>
      <c r="EX82">
        <f t="shared" si="122"/>
        <v>0</v>
      </c>
      <c r="EY82">
        <f t="shared" si="123"/>
        <v>0</v>
      </c>
      <c r="EZ82">
        <f t="shared" si="124"/>
        <v>0</v>
      </c>
      <c r="FA82">
        <f t="shared" si="125"/>
        <v>0</v>
      </c>
      <c r="FB82">
        <f t="shared" si="126"/>
        <v>0</v>
      </c>
      <c r="FC82">
        <f t="shared" si="127"/>
        <v>0</v>
      </c>
      <c r="FD82">
        <f t="shared" si="128"/>
        <v>0</v>
      </c>
      <c r="FE82">
        <f t="shared" si="160"/>
        <v>0</v>
      </c>
      <c r="FF82">
        <f t="shared" si="161"/>
        <v>0</v>
      </c>
      <c r="FG82">
        <f t="shared" si="162"/>
        <v>0</v>
      </c>
      <c r="FH82">
        <f t="shared" si="163"/>
        <v>0</v>
      </c>
      <c r="FI82">
        <f t="shared" si="164"/>
        <v>0</v>
      </c>
      <c r="FJ82">
        <f t="shared" si="165"/>
        <v>0</v>
      </c>
      <c r="FK82">
        <f t="shared" si="166"/>
        <v>0</v>
      </c>
      <c r="FL82">
        <f t="shared" si="167"/>
        <v>0</v>
      </c>
      <c r="FM82">
        <f t="shared" si="168"/>
        <v>0</v>
      </c>
      <c r="FN82">
        <f t="shared" si="169"/>
        <v>0</v>
      </c>
      <c r="FO82">
        <f t="shared" si="170"/>
        <v>0</v>
      </c>
      <c r="FP82">
        <f t="shared" si="171"/>
        <v>0</v>
      </c>
      <c r="FQ82">
        <f t="shared" si="172"/>
        <v>0</v>
      </c>
      <c r="FR82">
        <f t="shared" si="173"/>
        <v>0</v>
      </c>
      <c r="FS82" s="52">
        <f t="shared" si="174"/>
        <v>34.935004856167403</v>
      </c>
    </row>
    <row r="83" spans="5:175">
      <c r="E83" s="4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52">
        <f t="shared" si="177"/>
        <v>6.7416102270192207E-8</v>
      </c>
      <c r="V83">
        <f t="shared" si="142"/>
        <v>6.7416102270192207E-8</v>
      </c>
      <c r="W83">
        <f t="shared" si="142"/>
        <v>1.2500823620459373E-7</v>
      </c>
      <c r="X83">
        <f t="shared" si="142"/>
        <v>2.8939223202302905E-7</v>
      </c>
      <c r="Y83">
        <f t="shared" si="142"/>
        <v>7.0099782068064007E-7</v>
      </c>
      <c r="Z83">
        <f t="shared" si="142"/>
        <v>1.7114508510749312E-6</v>
      </c>
      <c r="AA83">
        <f t="shared" si="142"/>
        <v>4.1839597304148762E-6</v>
      </c>
      <c r="AB83">
        <f t="shared" si="142"/>
        <v>1.0230735899852027E-5</v>
      </c>
      <c r="AC83">
        <f t="shared" si="142"/>
        <v>2.5017410882043363E-5</v>
      </c>
      <c r="AD83">
        <f t="shared" si="142"/>
        <v>6.1175924782422091E-5</v>
      </c>
      <c r="AE83">
        <f t="shared" si="142"/>
        <v>1.4959572248573463E-4</v>
      </c>
      <c r="AF83">
        <f t="shared" si="142"/>
        <v>3.6581194560210927E-4</v>
      </c>
      <c r="AG83">
        <f t="shared" si="142"/>
        <v>8.9453348801867385E-4</v>
      </c>
      <c r="AH83">
        <f t="shared" si="142"/>
        <v>2.1874358524635292E-3</v>
      </c>
      <c r="AI83">
        <f t="shared" si="142"/>
        <v>5.3490178697766068E-3</v>
      </c>
      <c r="AJ83">
        <f t="shared" si="142"/>
        <v>1.3080151421514268E-2</v>
      </c>
      <c r="AK83">
        <f t="shared" si="142"/>
        <v>3.1985378508516682E-2</v>
      </c>
      <c r="AL83">
        <f t="shared" si="142"/>
        <v>7.8215030191028545E-2</v>
      </c>
      <c r="AM83">
        <f t="shared" si="142"/>
        <v>0.19126210890887133</v>
      </c>
      <c r="AN83">
        <f t="shared" si="142"/>
        <v>0.46770031559060604</v>
      </c>
      <c r="AO83">
        <f t="shared" si="142"/>
        <v>1.1436848963522559</v>
      </c>
      <c r="AP83">
        <f t="shared" si="142"/>
        <v>2.7966950171768206</v>
      </c>
      <c r="AQ83">
        <f t="shared" si="142"/>
        <v>6.838861861381643</v>
      </c>
      <c r="AR83">
        <f t="shared" si="142"/>
        <v>16.723322089754834</v>
      </c>
      <c r="AS83">
        <f t="shared" si="178"/>
        <v>40.89415861679371</v>
      </c>
      <c r="AT83" s="51">
        <v>100</v>
      </c>
      <c r="AU83" s="58">
        <f>AU84+1</f>
        <v>2</v>
      </c>
      <c r="AV83" s="46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50">
        <f t="shared" si="107"/>
        <v>0</v>
      </c>
      <c r="BM83">
        <f t="shared" si="108"/>
        <v>0</v>
      </c>
      <c r="BN83">
        <f t="shared" si="109"/>
        <v>0</v>
      </c>
      <c r="BO83">
        <f t="shared" si="110"/>
        <v>0</v>
      </c>
      <c r="BP83">
        <f t="shared" si="111"/>
        <v>0</v>
      </c>
      <c r="BQ83">
        <f t="shared" si="112"/>
        <v>0</v>
      </c>
      <c r="BR83">
        <f t="shared" si="113"/>
        <v>0</v>
      </c>
      <c r="BS83">
        <f t="shared" si="114"/>
        <v>0</v>
      </c>
      <c r="BT83">
        <f t="shared" si="115"/>
        <v>0</v>
      </c>
      <c r="BU83">
        <f t="shared" si="116"/>
        <v>0</v>
      </c>
      <c r="BV83">
        <f t="shared" si="117"/>
        <v>0</v>
      </c>
      <c r="BW83">
        <f t="shared" si="143"/>
        <v>0</v>
      </c>
      <c r="BX83">
        <f t="shared" si="144"/>
        <v>0</v>
      </c>
      <c r="BY83">
        <f t="shared" si="145"/>
        <v>0</v>
      </c>
      <c r="BZ83">
        <f t="shared" si="146"/>
        <v>0</v>
      </c>
      <c r="CA83">
        <f t="shared" si="147"/>
        <v>0</v>
      </c>
      <c r="CB83">
        <f t="shared" si="148"/>
        <v>0</v>
      </c>
      <c r="CC83">
        <f t="shared" si="149"/>
        <v>0</v>
      </c>
      <c r="CD83">
        <f t="shared" si="150"/>
        <v>0</v>
      </c>
      <c r="CE83">
        <f t="shared" si="151"/>
        <v>0</v>
      </c>
      <c r="CF83">
        <f t="shared" si="152"/>
        <v>0</v>
      </c>
      <c r="CG83">
        <f t="shared" si="153"/>
        <v>0</v>
      </c>
      <c r="CH83">
        <f t="shared" si="154"/>
        <v>0</v>
      </c>
      <c r="CI83">
        <f t="shared" si="155"/>
        <v>0</v>
      </c>
      <c r="CJ83">
        <f t="shared" si="156"/>
        <v>0</v>
      </c>
      <c r="CK83" s="50">
        <f t="shared" si="157"/>
        <v>-343420000</v>
      </c>
      <c r="CM83" s="44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52">
        <v>1</v>
      </c>
      <c r="DD83">
        <f t="shared" ref="DD83:DM83" si="193">$C$20/($C$21-$C$22*DC83)</f>
        <v>0.539293284322932</v>
      </c>
      <c r="DE83">
        <f t="shared" si="193"/>
        <v>0.4319681814909459</v>
      </c>
      <c r="DF83">
        <f t="shared" si="193"/>
        <v>0.41282900386486376</v>
      </c>
      <c r="DG83">
        <f t="shared" si="193"/>
        <v>0.4095927266858736</v>
      </c>
      <c r="DH83">
        <f t="shared" si="193"/>
        <v>0.40905050749740984</v>
      </c>
      <c r="DI83">
        <f t="shared" si="193"/>
        <v>0.40895980224407819</v>
      </c>
      <c r="DJ83">
        <f t="shared" si="193"/>
        <v>0.4089446325237156</v>
      </c>
      <c r="DK83">
        <f t="shared" si="193"/>
        <v>0.40894209562046063</v>
      </c>
      <c r="DL83">
        <f t="shared" si="193"/>
        <v>0.40894167136534132</v>
      </c>
      <c r="DM83">
        <f t="shared" si="193"/>
        <v>0.40894160041577399</v>
      </c>
      <c r="DN83">
        <f t="shared" ref="DN83:EB83" si="194">$C$20/($C$21-$C$22*DM83)</f>
        <v>0.40894158855064883</v>
      </c>
      <c r="DO83">
        <f t="shared" si="194"/>
        <v>0.40894158656640572</v>
      </c>
      <c r="DP83">
        <f t="shared" si="194"/>
        <v>0.40894158623457427</v>
      </c>
      <c r="DQ83">
        <f t="shared" si="194"/>
        <v>0.40894158617908111</v>
      </c>
      <c r="DR83">
        <f t="shared" si="194"/>
        <v>0.40894158616980075</v>
      </c>
      <c r="DS83">
        <f t="shared" si="194"/>
        <v>0.40894158616824877</v>
      </c>
      <c r="DT83">
        <f t="shared" si="194"/>
        <v>0.40894158616798926</v>
      </c>
      <c r="DU83">
        <f t="shared" si="194"/>
        <v>0.4089415861679459</v>
      </c>
      <c r="DV83">
        <f t="shared" si="194"/>
        <v>0.40894158616793863</v>
      </c>
      <c r="DW83">
        <f t="shared" si="194"/>
        <v>0.40894158616793735</v>
      </c>
      <c r="DX83">
        <f t="shared" si="194"/>
        <v>0.40894158616793719</v>
      </c>
      <c r="DY83">
        <f t="shared" si="194"/>
        <v>0.40894158616793713</v>
      </c>
      <c r="DZ83">
        <f t="shared" si="194"/>
        <v>0.40894158616793713</v>
      </c>
      <c r="EA83">
        <f t="shared" si="194"/>
        <v>0.40894158616793713</v>
      </c>
      <c r="EB83" s="52">
        <f t="shared" si="194"/>
        <v>0.40894158616793713</v>
      </c>
      <c r="EC83" s="58">
        <f>EC84+1</f>
        <v>2</v>
      </c>
      <c r="ED83" s="44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  <c r="EQ83" s="28"/>
      <c r="ER83" s="28"/>
      <c r="ES83" s="28"/>
      <c r="ET83" s="52">
        <v>0</v>
      </c>
      <c r="EU83">
        <f t="shared" si="119"/>
        <v>0</v>
      </c>
      <c r="EV83">
        <f t="shared" si="120"/>
        <v>0</v>
      </c>
      <c r="EW83">
        <f t="shared" si="121"/>
        <v>0</v>
      </c>
      <c r="EX83">
        <f t="shared" si="122"/>
        <v>0</v>
      </c>
      <c r="EY83">
        <f t="shared" si="123"/>
        <v>0</v>
      </c>
      <c r="EZ83">
        <f t="shared" si="124"/>
        <v>0</v>
      </c>
      <c r="FA83">
        <f t="shared" si="125"/>
        <v>0</v>
      </c>
      <c r="FB83">
        <f t="shared" si="126"/>
        <v>0</v>
      </c>
      <c r="FC83">
        <f t="shared" si="127"/>
        <v>0</v>
      </c>
      <c r="FD83">
        <f t="shared" si="128"/>
        <v>0</v>
      </c>
      <c r="FE83">
        <f t="shared" si="160"/>
        <v>0</v>
      </c>
      <c r="FF83">
        <f t="shared" si="161"/>
        <v>0</v>
      </c>
      <c r="FG83">
        <f t="shared" si="162"/>
        <v>0</v>
      </c>
      <c r="FH83">
        <f t="shared" si="163"/>
        <v>0</v>
      </c>
      <c r="FI83">
        <f t="shared" si="164"/>
        <v>0</v>
      </c>
      <c r="FJ83">
        <f t="shared" si="165"/>
        <v>0</v>
      </c>
      <c r="FK83">
        <f t="shared" si="166"/>
        <v>0</v>
      </c>
      <c r="FL83">
        <f t="shared" si="167"/>
        <v>0</v>
      </c>
      <c r="FM83">
        <f t="shared" si="168"/>
        <v>0</v>
      </c>
      <c r="FN83">
        <f t="shared" si="169"/>
        <v>0</v>
      </c>
      <c r="FO83">
        <f t="shared" si="170"/>
        <v>0</v>
      </c>
      <c r="FP83">
        <f t="shared" si="171"/>
        <v>0</v>
      </c>
      <c r="FQ83">
        <f t="shared" si="172"/>
        <v>0</v>
      </c>
      <c r="FR83">
        <f t="shared" si="173"/>
        <v>0</v>
      </c>
      <c r="FS83" s="52">
        <f t="shared" si="174"/>
        <v>34.935004856167403</v>
      </c>
    </row>
    <row r="84" spans="5:175">
      <c r="E84" s="49"/>
      <c r="F84" s="17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1"/>
      <c r="U84" s="52">
        <f t="shared" si="177"/>
        <v>6.7416102270192207E-8</v>
      </c>
      <c r="V84" s="52">
        <f t="shared" si="142"/>
        <v>6.7416102270192207E-8</v>
      </c>
      <c r="W84" s="52">
        <f t="shared" si="142"/>
        <v>1.2500823620459373E-7</v>
      </c>
      <c r="X84" s="52">
        <f t="shared" si="142"/>
        <v>2.8939223202302905E-7</v>
      </c>
      <c r="Y84" s="52">
        <f t="shared" si="142"/>
        <v>7.0099782068064007E-7</v>
      </c>
      <c r="Z84" s="52">
        <f t="shared" si="142"/>
        <v>1.7114508510749312E-6</v>
      </c>
      <c r="AA84" s="52">
        <f t="shared" si="142"/>
        <v>4.1839597304148762E-6</v>
      </c>
      <c r="AB84" s="52">
        <f t="shared" si="142"/>
        <v>1.0230735899852027E-5</v>
      </c>
      <c r="AC84" s="52">
        <f t="shared" si="142"/>
        <v>2.5017410882043363E-5</v>
      </c>
      <c r="AD84" s="52">
        <f t="shared" si="142"/>
        <v>6.1175924782422091E-5</v>
      </c>
      <c r="AE84" s="52">
        <f t="shared" si="142"/>
        <v>1.4959572248573463E-4</v>
      </c>
      <c r="AF84" s="52">
        <f t="shared" si="142"/>
        <v>3.6581194560210927E-4</v>
      </c>
      <c r="AG84" s="52">
        <f t="shared" si="142"/>
        <v>8.9453348801867385E-4</v>
      </c>
      <c r="AH84" s="52">
        <f t="shared" si="142"/>
        <v>2.1874358524635292E-3</v>
      </c>
      <c r="AI84" s="52">
        <f t="shared" si="142"/>
        <v>5.3490178697766068E-3</v>
      </c>
      <c r="AJ84" s="52">
        <f t="shared" si="142"/>
        <v>1.3080151421514268E-2</v>
      </c>
      <c r="AK84" s="52">
        <f t="shared" si="142"/>
        <v>3.1985378508516682E-2</v>
      </c>
      <c r="AL84" s="52">
        <f t="shared" si="142"/>
        <v>7.8215030191028545E-2</v>
      </c>
      <c r="AM84" s="52">
        <f t="shared" si="142"/>
        <v>0.19126210890887133</v>
      </c>
      <c r="AN84" s="52">
        <f t="shared" si="142"/>
        <v>0.46770031559060604</v>
      </c>
      <c r="AO84" s="52">
        <f t="shared" si="142"/>
        <v>1.1436848963522559</v>
      </c>
      <c r="AP84" s="52">
        <f t="shared" si="142"/>
        <v>2.7966950171768206</v>
      </c>
      <c r="AQ84" s="52">
        <f t="shared" si="142"/>
        <v>6.838861861381643</v>
      </c>
      <c r="AR84" s="52">
        <f t="shared" si="142"/>
        <v>16.723322089754834</v>
      </c>
      <c r="AS84" s="52">
        <f t="shared" si="178"/>
        <v>40.89415861679371</v>
      </c>
      <c r="AT84" s="51">
        <v>100</v>
      </c>
      <c r="AU84" s="58">
        <v>1</v>
      </c>
      <c r="AV84" s="47"/>
      <c r="AW84" s="17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1"/>
      <c r="BL84" s="50">
        <f t="shared" si="107"/>
        <v>0</v>
      </c>
      <c r="BM84" s="50">
        <f t="shared" si="108"/>
        <v>0</v>
      </c>
      <c r="BN84" s="50">
        <f t="shared" si="109"/>
        <v>0</v>
      </c>
      <c r="BO84" s="50">
        <f t="shared" si="110"/>
        <v>0</v>
      </c>
      <c r="BP84" s="50">
        <f t="shared" si="111"/>
        <v>0</v>
      </c>
      <c r="BQ84" s="50">
        <f t="shared" si="112"/>
        <v>0</v>
      </c>
      <c r="BR84" s="50">
        <f t="shared" si="113"/>
        <v>0</v>
      </c>
      <c r="BS84" s="50">
        <f t="shared" si="114"/>
        <v>0</v>
      </c>
      <c r="BT84" s="50">
        <f t="shared" si="115"/>
        <v>0</v>
      </c>
      <c r="BU84" s="50">
        <f t="shared" si="116"/>
        <v>0</v>
      </c>
      <c r="BV84" s="50">
        <f t="shared" si="117"/>
        <v>0</v>
      </c>
      <c r="BW84" s="50">
        <f t="shared" si="143"/>
        <v>0</v>
      </c>
      <c r="BX84" s="50">
        <f t="shared" si="144"/>
        <v>0</v>
      </c>
      <c r="BY84" s="50">
        <f t="shared" si="145"/>
        <v>0</v>
      </c>
      <c r="BZ84" s="50">
        <f t="shared" si="146"/>
        <v>0</v>
      </c>
      <c r="CA84" s="50">
        <f t="shared" si="147"/>
        <v>0</v>
      </c>
      <c r="CB84" s="50">
        <f t="shared" si="148"/>
        <v>0</v>
      </c>
      <c r="CC84" s="50">
        <f t="shared" si="149"/>
        <v>0</v>
      </c>
      <c r="CD84" s="50">
        <f t="shared" si="150"/>
        <v>0</v>
      </c>
      <c r="CE84" s="50">
        <f t="shared" si="151"/>
        <v>0</v>
      </c>
      <c r="CF84" s="50">
        <f t="shared" si="152"/>
        <v>0</v>
      </c>
      <c r="CG84" s="50">
        <f t="shared" si="153"/>
        <v>0</v>
      </c>
      <c r="CH84" s="50">
        <f t="shared" si="154"/>
        <v>0</v>
      </c>
      <c r="CI84" s="50">
        <f t="shared" si="155"/>
        <v>0</v>
      </c>
      <c r="CJ84" s="50">
        <f t="shared" si="156"/>
        <v>0</v>
      </c>
      <c r="CK84" s="50">
        <f t="shared" si="157"/>
        <v>-343420000</v>
      </c>
      <c r="CM84" s="45"/>
      <c r="CN84" s="17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1"/>
      <c r="DC84" s="52">
        <v>1</v>
      </c>
      <c r="DD84" s="52">
        <f t="shared" ref="DD84:DM84" si="195">$C$20/($C$21-$C$22*DC84)</f>
        <v>0.539293284322932</v>
      </c>
      <c r="DE84" s="52">
        <f t="shared" si="195"/>
        <v>0.4319681814909459</v>
      </c>
      <c r="DF84" s="52">
        <f t="shared" si="195"/>
        <v>0.41282900386486376</v>
      </c>
      <c r="DG84" s="52">
        <f t="shared" si="195"/>
        <v>0.4095927266858736</v>
      </c>
      <c r="DH84" s="52">
        <f t="shared" si="195"/>
        <v>0.40905050749740984</v>
      </c>
      <c r="DI84" s="52">
        <f t="shared" si="195"/>
        <v>0.40895980224407819</v>
      </c>
      <c r="DJ84" s="52">
        <f t="shared" si="195"/>
        <v>0.4089446325237156</v>
      </c>
      <c r="DK84" s="52">
        <f t="shared" si="195"/>
        <v>0.40894209562046063</v>
      </c>
      <c r="DL84" s="52">
        <f t="shared" si="195"/>
        <v>0.40894167136534132</v>
      </c>
      <c r="DM84" s="52">
        <f t="shared" si="195"/>
        <v>0.40894160041577399</v>
      </c>
      <c r="DN84" s="52">
        <f t="shared" ref="DN84:EB84" si="196">$C$20/($C$21-$C$22*DM84)</f>
        <v>0.40894158855064883</v>
      </c>
      <c r="DO84" s="52">
        <f t="shared" si="196"/>
        <v>0.40894158656640572</v>
      </c>
      <c r="DP84" s="52">
        <f t="shared" si="196"/>
        <v>0.40894158623457427</v>
      </c>
      <c r="DQ84" s="52">
        <f t="shared" si="196"/>
        <v>0.40894158617908111</v>
      </c>
      <c r="DR84" s="52">
        <f t="shared" si="196"/>
        <v>0.40894158616980075</v>
      </c>
      <c r="DS84" s="52">
        <f t="shared" si="196"/>
        <v>0.40894158616824877</v>
      </c>
      <c r="DT84" s="52">
        <f t="shared" si="196"/>
        <v>0.40894158616798926</v>
      </c>
      <c r="DU84" s="52">
        <f t="shared" si="196"/>
        <v>0.4089415861679459</v>
      </c>
      <c r="DV84" s="52">
        <f t="shared" si="196"/>
        <v>0.40894158616793863</v>
      </c>
      <c r="DW84" s="52">
        <f t="shared" si="196"/>
        <v>0.40894158616793735</v>
      </c>
      <c r="DX84" s="52">
        <f t="shared" si="196"/>
        <v>0.40894158616793719</v>
      </c>
      <c r="DY84" s="52">
        <f t="shared" si="196"/>
        <v>0.40894158616793713</v>
      </c>
      <c r="DZ84" s="52">
        <f t="shared" si="196"/>
        <v>0.40894158616793713</v>
      </c>
      <c r="EA84" s="52">
        <f t="shared" si="196"/>
        <v>0.40894158616793713</v>
      </c>
      <c r="EB84" s="52">
        <f t="shared" si="196"/>
        <v>0.40894158616793713</v>
      </c>
      <c r="EC84" s="58">
        <v>1</v>
      </c>
      <c r="ED84" s="45"/>
      <c r="EE84" s="17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1"/>
      <c r="ET84" s="52">
        <v>0</v>
      </c>
      <c r="EU84" s="52">
        <f t="shared" si="119"/>
        <v>0</v>
      </c>
      <c r="EV84" s="52">
        <f t="shared" si="120"/>
        <v>0</v>
      </c>
      <c r="EW84" s="52">
        <f t="shared" si="121"/>
        <v>0</v>
      </c>
      <c r="EX84" s="52">
        <f t="shared" si="122"/>
        <v>0</v>
      </c>
      <c r="EY84" s="52">
        <f t="shared" si="123"/>
        <v>0</v>
      </c>
      <c r="EZ84" s="52">
        <f t="shared" si="124"/>
        <v>0</v>
      </c>
      <c r="FA84" s="52">
        <f t="shared" si="125"/>
        <v>0</v>
      </c>
      <c r="FB84" s="52">
        <f t="shared" si="126"/>
        <v>0</v>
      </c>
      <c r="FC84" s="52">
        <f t="shared" si="127"/>
        <v>0</v>
      </c>
      <c r="FD84" s="52">
        <f t="shared" si="128"/>
        <v>0</v>
      </c>
      <c r="FE84" s="52">
        <f t="shared" si="160"/>
        <v>0</v>
      </c>
      <c r="FF84" s="52">
        <f t="shared" si="161"/>
        <v>0</v>
      </c>
      <c r="FG84" s="52">
        <f t="shared" si="162"/>
        <v>0</v>
      </c>
      <c r="FH84" s="52">
        <f t="shared" si="163"/>
        <v>0</v>
      </c>
      <c r="FI84" s="52">
        <f t="shared" si="164"/>
        <v>0</v>
      </c>
      <c r="FJ84" s="52">
        <f t="shared" si="165"/>
        <v>0</v>
      </c>
      <c r="FK84" s="52">
        <f t="shared" si="166"/>
        <v>0</v>
      </c>
      <c r="FL84" s="52">
        <f t="shared" si="167"/>
        <v>0</v>
      </c>
      <c r="FM84" s="52">
        <f t="shared" si="168"/>
        <v>0</v>
      </c>
      <c r="FN84" s="52">
        <f t="shared" si="169"/>
        <v>0</v>
      </c>
      <c r="FO84" s="52">
        <f t="shared" si="170"/>
        <v>0</v>
      </c>
      <c r="FP84" s="52">
        <f t="shared" si="171"/>
        <v>0</v>
      </c>
      <c r="FQ84" s="52">
        <f t="shared" si="172"/>
        <v>0</v>
      </c>
      <c r="FR84" s="52">
        <f t="shared" si="173"/>
        <v>0</v>
      </c>
      <c r="FS84" s="52">
        <f t="shared" si="174"/>
        <v>34.935004856167403</v>
      </c>
    </row>
    <row r="86" spans="5:175" ht="15" customHeight="1">
      <c r="E86" s="56" t="s">
        <v>28</v>
      </c>
      <c r="F86" s="51">
        <f>EE87/(1-CN87)</f>
        <v>350</v>
      </c>
      <c r="G86" s="51">
        <f t="shared" ref="F86:G86" si="197">EF87/(1-CO87)</f>
        <v>0</v>
      </c>
      <c r="H86" s="51">
        <f t="shared" ref="H86" si="198">EG87/(1-CP87)</f>
        <v>0</v>
      </c>
      <c r="I86" s="51">
        <f t="shared" ref="I86" si="199">EH87/(1-CQ87)</f>
        <v>0</v>
      </c>
      <c r="J86" s="51">
        <f t="shared" ref="J86" si="200">EI87/(1-CR87)</f>
        <v>0</v>
      </c>
      <c r="K86" s="51">
        <f t="shared" ref="K86" si="201">EJ87/(1-CS87)</f>
        <v>0</v>
      </c>
      <c r="L86" s="51">
        <f t="shared" ref="L86" si="202">EK87/(1-CT87)</f>
        <v>0</v>
      </c>
      <c r="M86" s="51">
        <f>EL87/(1-CU87)</f>
        <v>0</v>
      </c>
      <c r="N86" s="51">
        <f t="shared" ref="N86" si="203">EM87/(1-CV87)</f>
        <v>0</v>
      </c>
      <c r="O86" s="51">
        <f t="shared" ref="O86" si="204">EN87/(1-CW87)</f>
        <v>0</v>
      </c>
      <c r="P86" s="51">
        <f t="shared" ref="P86" si="205">EO87/(1-CX87)</f>
        <v>0</v>
      </c>
      <c r="Q86" s="51">
        <f t="shared" ref="Q86" si="206">EP87/(1-CY87)</f>
        <v>0</v>
      </c>
      <c r="R86" s="51">
        <f t="shared" ref="R86" si="207">EQ87/(1-CZ87)</f>
        <v>0</v>
      </c>
      <c r="S86" s="51">
        <f t="shared" ref="S86" si="208">ER87/(1-DA87)</f>
        <v>0</v>
      </c>
      <c r="T86" s="51">
        <f t="shared" ref="T86" si="209">ES87/(1-DB87)</f>
        <v>0</v>
      </c>
      <c r="U86" s="51">
        <f t="shared" ref="U86" si="210">ET87/(1-DC87)</f>
        <v>0</v>
      </c>
      <c r="V86" s="51">
        <f t="shared" ref="V86" si="211">EU87/(1-DD87)</f>
        <v>0</v>
      </c>
      <c r="W86" s="51">
        <f t="shared" ref="W86" si="212">EV87/(1-DE87)</f>
        <v>0</v>
      </c>
      <c r="X86" s="51">
        <f t="shared" ref="X86" si="213">EW87/(1-DF87)</f>
        <v>0</v>
      </c>
      <c r="Y86" s="51">
        <f t="shared" ref="Y86" si="214">EX87/(1-DG87)</f>
        <v>0</v>
      </c>
      <c r="Z86" s="51">
        <f t="shared" ref="Z86" si="215">EY87/(1-DH87)</f>
        <v>0</v>
      </c>
      <c r="AA86" s="51">
        <f t="shared" ref="AA86" si="216">EZ87/(1-DI87)</f>
        <v>0</v>
      </c>
      <c r="AB86" s="51">
        <f t="shared" ref="AB86" si="217">FA87/(1-DJ87)</f>
        <v>0</v>
      </c>
      <c r="AC86" s="51">
        <f t="shared" ref="AC86" si="218">FB87/(1-DK87)</f>
        <v>0</v>
      </c>
      <c r="AD86" s="51">
        <f t="shared" ref="AD86" si="219">FC87/(1-DL87)</f>
        <v>0</v>
      </c>
      <c r="AE86" s="51">
        <f t="shared" ref="AE86" si="220">FD87/(1-DM87)</f>
        <v>0</v>
      </c>
      <c r="AF86" s="32"/>
      <c r="AG86" s="32"/>
      <c r="AH86" s="32"/>
      <c r="AI86" s="32"/>
      <c r="AJ86" s="32"/>
      <c r="AK86" s="32"/>
      <c r="AL86" s="33"/>
      <c r="AM86" s="33"/>
      <c r="AN86" s="33"/>
      <c r="AO86" s="33"/>
      <c r="AP86" s="33"/>
      <c r="AQ86" s="33"/>
      <c r="AR86" s="33"/>
      <c r="AS86" s="33"/>
      <c r="AT86" s="34"/>
      <c r="AU86" s="58">
        <f t="shared" ref="AU86:AU124" si="221">AU87+1</f>
        <v>41</v>
      </c>
      <c r="AV86" s="55" t="s">
        <v>29</v>
      </c>
      <c r="AW86" s="50">
        <f>-($C$16*$C$15/$C$13)*F44</f>
        <v>-1201970000</v>
      </c>
      <c r="AX86" s="50">
        <f t="shared" ref="AX86:AX101" si="222">-($C$16*$C$15/$C$13)*G44</f>
        <v>-491535518.32627541</v>
      </c>
      <c r="AY86" s="50">
        <f t="shared" ref="AY86:AY101" si="223">-($C$16*$C$15/$C$13)*H44</f>
        <v>-201009314.52222621</v>
      </c>
      <c r="AZ86" s="50">
        <f t="shared" ref="AZ86:AZ101" si="224">-($C$16*$C$15/$C$13)*I44</f>
        <v>-82201067.91524896</v>
      </c>
      <c r="BA86" s="50">
        <f t="shared" ref="BA86:BA101" si="225">-($C$16*$C$15/$C$13)*J44</f>
        <v>-33615435.097960241</v>
      </c>
      <c r="BB86" s="50">
        <f t="shared" ref="BB86:BB101" si="226">-($C$16*$C$15/$C$13)*K44</f>
        <v>-13746749.348685214</v>
      </c>
      <c r="BC86" s="50">
        <f t="shared" ref="BC86:BC101" si="227">-($C$16*$C$15/$C$13)*L44</f>
        <v>-5621617.4833044084</v>
      </c>
      <c r="BD86" s="50">
        <f t="shared" ref="BD86:BD101" si="228">-($C$16*$C$15/$C$13)*M44</f>
        <v>-2298913.1704519605</v>
      </c>
      <c r="BE86" s="50">
        <f t="shared" ref="BE86:BE101" si="229">-($C$16*$C$15/$C$13)*N44</f>
        <v>-940121.19838710595</v>
      </c>
      <c r="BF86" s="50">
        <f t="shared" ref="BF86:BF101" si="230">-($C$16*$C$15/$C$13)*O44</f>
        <v>-384454.65405881801</v>
      </c>
      <c r="BG86" s="50">
        <f t="shared" ref="BG86:BG101" si="231">-($C$16*$C$15/$C$13)*P44</f>
        <v>-157219.49604117507</v>
      </c>
      <c r="BH86" s="50">
        <f t="shared" ref="BH86:BH101" si="232">-($C$16*$C$15/$C$13)*Q44</f>
        <v>-64293.5900893539</v>
      </c>
      <c r="BI86" s="50">
        <f t="shared" ref="BI86:BI99" si="233">-($C$16*$C$15/$C$13)*R44</f>
        <v>-26292.322715855888</v>
      </c>
      <c r="BJ86" s="50">
        <f t="shared" ref="BJ86:BJ101" si="234">-($C$16*$C$15/$C$13)*S44</f>
        <v>-10752.024165938054</v>
      </c>
      <c r="BK86" s="50">
        <f t="shared" ref="BK86:BK101" si="235">-($C$16*$C$15/$C$13)*T44</f>
        <v>-4396.9498425536722</v>
      </c>
      <c r="BL86" s="50">
        <f t="shared" ref="BL86:BL100" si="236">-($C$16*$C$15/$C$13)*U44</f>
        <v>-1798.0957055617841</v>
      </c>
      <c r="BM86" s="50">
        <f t="shared" ref="BM86:BM126" si="237">-($C$16*$C$15/$C$13)*V44</f>
        <v>-735.31626310727847</v>
      </c>
      <c r="BN86" s="50">
        <f t="shared" ref="BN86:BN126" si="238">-($C$16*$C$15/$C$13)*W44</f>
        <v>-300.70177357889651</v>
      </c>
      <c r="BO86" s="50">
        <f t="shared" ref="BO86:BO126" si="239">-($C$16*$C$15/$C$13)*X44</f>
        <v>-122.97037629545133</v>
      </c>
      <c r="BP86" s="50">
        <f t="shared" ref="BP86:BP126" si="240">-($C$16*$C$15/$C$13)*Y44</f>
        <v>-50.289940771667659</v>
      </c>
      <c r="BQ86" s="50">
        <f t="shared" ref="BQ86:BQ126" si="241">-($C$16*$C$15/$C$13)*Z44</f>
        <v>-20.571125794665335</v>
      </c>
      <c r="BR86" s="50">
        <f t="shared" ref="BR86:BR126" si="242">-($C$16*$C$15/$C$13)*AA44</f>
        <v>-8.4257835052350831</v>
      </c>
      <c r="BS86" s="50">
        <f t="shared" ref="BS86:BS126" si="243">-($C$16*$C$15/$C$13)*AB44</f>
        <v>-3.4784078112471994</v>
      </c>
      <c r="BT86" s="50">
        <f t="shared" ref="BT86:BT126" si="244">-($C$16*$C$15/$C$13)*AC44</f>
        <v>-1.5025614967083543</v>
      </c>
      <c r="BU86" s="50">
        <f t="shared" ref="BU86:BU126" si="245">-($C$16*$C$15/$C$13)*AD44</f>
        <v>-0.81032132445702887</v>
      </c>
      <c r="BV86" s="50">
        <f t="shared" ref="BV86:BV126" si="246">-($C$16*$C$15/$C$13)*AE44</f>
        <v>-0.81032132445702876</v>
      </c>
      <c r="BW86" s="32"/>
      <c r="BX86" s="32"/>
      <c r="BY86" s="32"/>
      <c r="BZ86" s="32"/>
      <c r="CA86" s="32"/>
      <c r="CB86" s="32"/>
      <c r="CC86" s="33"/>
      <c r="CD86" s="33"/>
      <c r="CE86" s="33"/>
      <c r="CF86" s="33"/>
      <c r="CG86" s="33"/>
      <c r="CH86" s="33"/>
      <c r="CI86" s="33"/>
      <c r="CJ86" s="33"/>
      <c r="CK86" s="34"/>
      <c r="CM86" s="54" t="s">
        <v>30</v>
      </c>
      <c r="CN86" s="50">
        <f t="shared" ref="CN86:CN99" si="247">$C$20/($C$21-$C$22*CN87)</f>
        <v>0.40894158616980075</v>
      </c>
      <c r="CO86" s="50">
        <f t="shared" ref="CO86:CO100" si="248">$C$20/($C$21-$C$22*CO87)</f>
        <v>0.40894158616980075</v>
      </c>
      <c r="CP86" s="50">
        <f t="shared" ref="CP86:CP100" si="249">$C$20/($C$21-$C$22*CP87)</f>
        <v>0.40894158616980075</v>
      </c>
      <c r="CQ86" s="50">
        <f t="shared" ref="CQ86:CQ100" si="250">$C$20/($C$21-$C$22*CQ87)</f>
        <v>0.40894158616980075</v>
      </c>
      <c r="CR86" s="50">
        <f t="shared" ref="CR86:CR100" si="251">$C$20/($C$21-$C$22*CR87)</f>
        <v>0.40894158616980075</v>
      </c>
      <c r="CS86" s="50">
        <f t="shared" ref="CS86:CS100" si="252">$C$20/($C$21-$C$22*CS87)</f>
        <v>0.40894158616980075</v>
      </c>
      <c r="CT86" s="50">
        <f t="shared" ref="CT86:CT100" si="253">$C$20/($C$21-$C$22*CT87)</f>
        <v>0.40894158616980075</v>
      </c>
      <c r="CU86" s="50">
        <f t="shared" ref="CU86:CU100" si="254">$C$20/($C$21-$C$22*CU87)</f>
        <v>0.40894158616980075</v>
      </c>
      <c r="CV86" s="50">
        <f t="shared" ref="CV86:CV100" si="255">$C$20/($C$21-$C$22*CV87)</f>
        <v>0.40894158616980075</v>
      </c>
      <c r="CW86" s="50">
        <f t="shared" ref="CW86:CW100" si="256">$C$20/($C$21-$C$22*CW87)</f>
        <v>0.40894158616980075</v>
      </c>
      <c r="CX86" s="50">
        <f t="shared" ref="CX86:CX100" si="257">$C$20/($C$21-$C$22*CX87)</f>
        <v>0.40894158616980075</v>
      </c>
      <c r="CY86" s="50">
        <f t="shared" ref="CY86:CY100" si="258">$C$20/($C$21-$C$22*CY87)</f>
        <v>0.40894158616980075</v>
      </c>
      <c r="CZ86" s="50">
        <f t="shared" ref="CZ86:CZ100" si="259">$C$20/($C$21-$C$22*CZ87)</f>
        <v>0.40894158616980075</v>
      </c>
      <c r="DA86" s="50">
        <f t="shared" ref="DA86:DA100" si="260">$C$20/($C$21-$C$22*DA87)</f>
        <v>0.40894158616980075</v>
      </c>
      <c r="DB86" s="50">
        <f t="shared" ref="DB86:DB100" si="261">$C$20/($C$21-$C$22*DB87)</f>
        <v>0.40894158616980075</v>
      </c>
      <c r="DC86" s="50">
        <f t="shared" ref="DC86:DC100" si="262">$C$20/($C$21-$C$22*DC87)</f>
        <v>0.40894158616980075</v>
      </c>
      <c r="DD86" s="50">
        <f t="shared" ref="DD86:DD100" si="263">$C$20/($C$21-$C$22*DD87)</f>
        <v>0.40894158616793713</v>
      </c>
      <c r="DE86" s="50">
        <f t="shared" ref="DE86:DE100" si="264">$C$20/($C$21-$C$22*DE87)</f>
        <v>0.40894158616793713</v>
      </c>
      <c r="DF86" s="50">
        <f t="shared" ref="DF86:DF100" si="265">$C$20/($C$21-$C$22*DF87)</f>
        <v>0.40894158616793713</v>
      </c>
      <c r="DG86" s="50">
        <f t="shared" ref="DG86:DG100" si="266">$C$20/($C$21-$C$22*DG87)</f>
        <v>0.40894158616793713</v>
      </c>
      <c r="DH86" s="50">
        <f t="shared" ref="DH86:DH100" si="267">$C$20/($C$21-$C$22*DH87)</f>
        <v>0.40894158616793713</v>
      </c>
      <c r="DI86" s="50">
        <f t="shared" ref="DI86:DI100" si="268">$C$20/($C$21-$C$22*DI87)</f>
        <v>0.40894158616793713</v>
      </c>
      <c r="DJ86" s="50">
        <f t="shared" ref="DJ86:DJ100" si="269">$C$20/($C$21-$C$22*DJ87)</f>
        <v>0.40894158616793713</v>
      </c>
      <c r="DK86" s="50">
        <f t="shared" ref="DK86:DK100" si="270">$C$20/($C$21-$C$22*DK87)</f>
        <v>0.40894158616793713</v>
      </c>
      <c r="DL86" s="50">
        <f t="shared" ref="DL86:DL100" si="271">$C$20/($C$21-$C$22*DL87)</f>
        <v>0.40894158616793713</v>
      </c>
      <c r="DM86" s="50">
        <f t="shared" ref="DM86:DM100" si="272">$C$20/($C$21-$C$22*DM87)</f>
        <v>0.40894158616793713</v>
      </c>
      <c r="DN86" s="32"/>
      <c r="DO86" s="32"/>
      <c r="DP86" s="32"/>
      <c r="DQ86" s="32"/>
      <c r="DR86" s="32"/>
      <c r="DS86" s="32"/>
      <c r="DT86" s="33"/>
      <c r="DU86" s="33"/>
      <c r="DV86" s="33"/>
      <c r="DW86" s="33"/>
      <c r="DX86" s="33"/>
      <c r="DY86" s="33"/>
      <c r="DZ86" s="33"/>
      <c r="EA86" s="33"/>
      <c r="EB86" s="34"/>
      <c r="EC86" s="58">
        <f t="shared" ref="EC86:EC124" si="273">EC87+1</f>
        <v>41</v>
      </c>
      <c r="ED86" s="54" t="s">
        <v>31</v>
      </c>
      <c r="EE86" s="52">
        <f t="shared" ref="EE86:EF99" si="274">(EE87*$C$22-AW44)/($C$21-$C$22*CN87)</f>
        <v>206.87044484056972</v>
      </c>
      <c r="EF86" s="52">
        <f t="shared" si="274"/>
        <v>0</v>
      </c>
      <c r="EG86" s="52">
        <f t="shared" ref="EG86:EG100" si="275">(EG87*$C$22-AY44)/($C$21-$C$22*CP87)</f>
        <v>0</v>
      </c>
      <c r="EH86" s="52">
        <f t="shared" ref="EH86:EH100" si="276">(EH87*$C$22-AZ44)/($C$21-$C$22*CQ87)</f>
        <v>0</v>
      </c>
      <c r="EI86" s="52">
        <f t="shared" ref="EI86:EI100" si="277">(EI87*$C$22-BA44)/($C$21-$C$22*CR87)</f>
        <v>0</v>
      </c>
      <c r="EJ86" s="52">
        <f t="shared" ref="EJ86:EJ100" si="278">(EJ87*$C$22-BB44)/($C$21-$C$22*CS87)</f>
        <v>0</v>
      </c>
      <c r="EK86" s="52">
        <f t="shared" ref="EK86:EK100" si="279">(EK87*$C$22-BC44)/($C$21-$C$22*CT87)</f>
        <v>0</v>
      </c>
      <c r="EL86" s="52">
        <f t="shared" ref="EL86:EL100" si="280">(EL87*$C$22-BD44)/($C$21-$C$22*CU87)</f>
        <v>0</v>
      </c>
      <c r="EM86" s="52">
        <f t="shared" ref="EM86:EM100" si="281">(EM87*$C$22-BE44)/($C$21-$C$22*CV87)</f>
        <v>0</v>
      </c>
      <c r="EN86" s="52">
        <f t="shared" ref="EN86:EN100" si="282">(EN87*$C$22-BF44)/($C$21-$C$22*CW87)</f>
        <v>0</v>
      </c>
      <c r="EO86" s="52">
        <f t="shared" ref="EO86:EO100" si="283">(EO87*$C$22-BG44)/($C$21-$C$22*CX87)</f>
        <v>0</v>
      </c>
      <c r="EP86" s="52">
        <f t="shared" ref="EP86:EP100" si="284">(EP87*$C$22-BH44)/($C$21-$C$22*CY87)</f>
        <v>0</v>
      </c>
      <c r="EQ86" s="52">
        <f t="shared" ref="EQ86:EQ100" si="285">(EQ87*$C$22-BI44)/($C$21-$C$22*CZ87)</f>
        <v>0</v>
      </c>
      <c r="ER86" s="52">
        <f t="shared" ref="ER86:ER100" si="286">(ER87*$C$22-BJ44)/($C$21-$C$22*DA87)</f>
        <v>0</v>
      </c>
      <c r="ES86" s="52">
        <f t="shared" ref="ES86:ES100" si="287">(ES87*$C$22-BK44)/($C$21-$C$22*DB87)</f>
        <v>0</v>
      </c>
      <c r="ET86" s="52">
        <f t="shared" ref="ET86:ET100" si="288">(ET87*$C$22-BL44)/($C$21-$C$22*DC87)</f>
        <v>0</v>
      </c>
      <c r="EU86" s="52">
        <f t="shared" ref="EU86:EU100" si="289">(EU87*$C$22-BM44)/($C$21-$C$22*DD87)</f>
        <v>0</v>
      </c>
      <c r="EV86" s="52">
        <f t="shared" ref="EV86:EV100" si="290">(EV87*$C$22-BN44)/($C$21-$C$22*DE87)</f>
        <v>0</v>
      </c>
      <c r="EW86" s="52">
        <f t="shared" ref="EW86:EW100" si="291">(EW87*$C$22-BO44)/($C$21-$C$22*DF87)</f>
        <v>0</v>
      </c>
      <c r="EX86" s="52">
        <f t="shared" ref="EX86:EX100" si="292">(EX87*$C$22-BP44)/($C$21-$C$22*DG87)</f>
        <v>0</v>
      </c>
      <c r="EY86" s="52">
        <f t="shared" ref="EY86:EY100" si="293">(EY87*$C$22-BQ44)/($C$21-$C$22*DH87)</f>
        <v>0</v>
      </c>
      <c r="EZ86" s="52">
        <f t="shared" ref="EZ86:EZ100" si="294">(EZ87*$C$22-BR44)/($C$21-$C$22*DI87)</f>
        <v>0</v>
      </c>
      <c r="FA86" s="52">
        <f t="shared" ref="FA86:FA100" si="295">(FA87*$C$22-BS44)/($C$21-$C$22*DJ87)</f>
        <v>0</v>
      </c>
      <c r="FB86" s="52">
        <f t="shared" ref="FB86:FB100" si="296">(FB87*$C$22-BT44)/($C$21-$C$22*DK87)</f>
        <v>0</v>
      </c>
      <c r="FC86" s="52">
        <f t="shared" ref="FC86:FC100" si="297">(FC87*$C$22-BU44)/($C$21-$C$22*DL87)</f>
        <v>0</v>
      </c>
      <c r="FD86" s="52">
        <f t="shared" ref="FD86:FD100" si="298">(FD87*$C$22-BV44)/($C$21-$C$22*DM87)</f>
        <v>0</v>
      </c>
      <c r="FE86" s="32"/>
      <c r="FF86" s="32"/>
      <c r="FG86" s="32"/>
      <c r="FH86" s="32"/>
      <c r="FI86" s="32"/>
      <c r="FJ86" s="32"/>
      <c r="FK86" s="33"/>
      <c r="FL86" s="33"/>
      <c r="FM86" s="33"/>
      <c r="FN86" s="33"/>
      <c r="FO86" s="33"/>
      <c r="FP86" s="33"/>
      <c r="FQ86" s="33"/>
      <c r="FR86" s="33"/>
      <c r="FS86" s="34"/>
    </row>
    <row r="87" spans="5:175">
      <c r="E87" s="48"/>
      <c r="F87" s="57">
        <f>CN87*F86+EE87</f>
        <v>350</v>
      </c>
      <c r="G87">
        <f t="shared" ref="G87:G101" si="299">CO87*G86+EF87</f>
        <v>0</v>
      </c>
      <c r="H87">
        <f t="shared" ref="H87:H101" si="300">CP87*H86+EG87</f>
        <v>0</v>
      </c>
      <c r="I87">
        <f t="shared" ref="I87:I101" si="301">CQ87*I86+EH87</f>
        <v>0</v>
      </c>
      <c r="J87">
        <f t="shared" ref="J87:J101" si="302">CR87*J86+EI87</f>
        <v>0</v>
      </c>
      <c r="K87">
        <f t="shared" ref="K87:K101" si="303">CS87*K86+EJ87</f>
        <v>0</v>
      </c>
      <c r="L87">
        <f t="shared" ref="L87:L101" si="304">CT87*L86+EK87</f>
        <v>0</v>
      </c>
      <c r="M87">
        <f t="shared" ref="M87:M101" si="305">CU87*M86+EL87</f>
        <v>0</v>
      </c>
      <c r="N87">
        <f t="shared" ref="N87:N101" si="306">CV87*N86+EM87</f>
        <v>0</v>
      </c>
      <c r="O87">
        <f t="shared" ref="O87:O101" si="307">CW87*O86+EN87</f>
        <v>0</v>
      </c>
      <c r="P87">
        <f t="shared" ref="P87:P101" si="308">CX87*P86+EO87</f>
        <v>0</v>
      </c>
      <c r="Q87">
        <f t="shared" ref="Q87:Q101" si="309">CY87*Q86+EP87</f>
        <v>0</v>
      </c>
      <c r="R87">
        <f t="shared" ref="R87:R101" si="310">CZ87*R86+EQ87</f>
        <v>0</v>
      </c>
      <c r="S87">
        <f t="shared" ref="S87:S101" si="311">DA87*S86+ER87</f>
        <v>0</v>
      </c>
      <c r="T87">
        <f t="shared" ref="T87:T101" si="312">DB87*T86+ES87</f>
        <v>0</v>
      </c>
      <c r="U87">
        <f t="shared" ref="U87:U101" si="313">DC87*U86+ET87</f>
        <v>0</v>
      </c>
      <c r="V87">
        <f t="shared" ref="V87:V101" si="314">DD87*V86+EU87</f>
        <v>0</v>
      </c>
      <c r="W87">
        <f t="shared" ref="W87:W116" si="315">DE87*W86+EV87</f>
        <v>0</v>
      </c>
      <c r="X87">
        <f t="shared" ref="X87:X116" si="316">DF87*X86+EW87</f>
        <v>0</v>
      </c>
      <c r="Y87">
        <f t="shared" ref="Y87:Y116" si="317">DG87*Y86+EX87</f>
        <v>0</v>
      </c>
      <c r="Z87">
        <f t="shared" ref="Z87:Z116" si="318">DH87*Z86+EY87</f>
        <v>0</v>
      </c>
      <c r="AA87">
        <f t="shared" ref="AA87:AA116" si="319">DI87*AA86+EZ87</f>
        <v>0</v>
      </c>
      <c r="AB87">
        <f t="shared" ref="AB87:AB116" si="320">DJ87*AB86+FA87</f>
        <v>0</v>
      </c>
      <c r="AC87">
        <f t="shared" ref="AC87:AC116" si="321">DK87*AC86+FB87</f>
        <v>0</v>
      </c>
      <c r="AD87">
        <f t="shared" ref="AD87:AE116" si="322">DL87*AD86+FC87</f>
        <v>0</v>
      </c>
      <c r="AE87" s="57">
        <f t="shared" si="322"/>
        <v>0</v>
      </c>
      <c r="AF87" s="16"/>
      <c r="AG87" s="16"/>
      <c r="AH87" s="16"/>
      <c r="AI87" s="16"/>
      <c r="AJ87" s="16"/>
      <c r="AK87" s="16"/>
      <c r="AL87" s="28"/>
      <c r="AM87" s="28"/>
      <c r="AN87" s="28"/>
      <c r="AO87" s="28"/>
      <c r="AP87" s="28"/>
      <c r="AQ87" s="28"/>
      <c r="AR87" s="28"/>
      <c r="AS87" s="28"/>
      <c r="AT87" s="35"/>
      <c r="AU87" s="58">
        <f t="shared" si="221"/>
        <v>40</v>
      </c>
      <c r="AV87" s="46"/>
      <c r="AW87" s="50">
        <f t="shared" ref="AW87:AW101" si="323">-($C$16*$C$15/$C$13)*F45</f>
        <v>-1201970000</v>
      </c>
      <c r="AX87">
        <f t="shared" si="222"/>
        <v>-491535518.32627541</v>
      </c>
      <c r="AY87">
        <f t="shared" si="223"/>
        <v>-201009314.52222621</v>
      </c>
      <c r="AZ87">
        <f t="shared" si="224"/>
        <v>-82201067.91524896</v>
      </c>
      <c r="BA87">
        <f t="shared" si="225"/>
        <v>-33615435.097960241</v>
      </c>
      <c r="BB87">
        <f t="shared" si="226"/>
        <v>-13746749.348685214</v>
      </c>
      <c r="BC87">
        <f t="shared" si="227"/>
        <v>-5621617.4833044084</v>
      </c>
      <c r="BD87">
        <f t="shared" si="228"/>
        <v>-2298913.1704519605</v>
      </c>
      <c r="BE87">
        <f t="shared" si="229"/>
        <v>-940121.19838710595</v>
      </c>
      <c r="BF87">
        <f t="shared" si="230"/>
        <v>-384454.65405881801</v>
      </c>
      <c r="BG87">
        <f t="shared" si="231"/>
        <v>-157219.49604117507</v>
      </c>
      <c r="BH87">
        <f t="shared" si="232"/>
        <v>-64293.5900893539</v>
      </c>
      <c r="BI87">
        <f t="shared" si="233"/>
        <v>-26292.322715855888</v>
      </c>
      <c r="BJ87">
        <f t="shared" si="234"/>
        <v>-10752.024165938054</v>
      </c>
      <c r="BK87">
        <f t="shared" si="235"/>
        <v>-4396.9498425536722</v>
      </c>
      <c r="BL87">
        <f t="shared" si="236"/>
        <v>-1798.0957055617841</v>
      </c>
      <c r="BM87">
        <f t="shared" si="237"/>
        <v>-735.31626310727847</v>
      </c>
      <c r="BN87">
        <f t="shared" si="238"/>
        <v>-300.70177357889651</v>
      </c>
      <c r="BO87">
        <f t="shared" si="239"/>
        <v>-122.97037629545133</v>
      </c>
      <c r="BP87">
        <f t="shared" si="240"/>
        <v>-50.289940771667659</v>
      </c>
      <c r="BQ87">
        <f t="shared" si="241"/>
        <v>-20.571125794665335</v>
      </c>
      <c r="BR87">
        <f t="shared" si="242"/>
        <v>-8.4257835052350831</v>
      </c>
      <c r="BS87">
        <f t="shared" si="243"/>
        <v>-3.4784078112471994</v>
      </c>
      <c r="BT87">
        <f t="shared" si="244"/>
        <v>-1.5025614967083543</v>
      </c>
      <c r="BU87">
        <f t="shared" si="245"/>
        <v>-0.81032132445702887</v>
      </c>
      <c r="BV87" s="50">
        <f t="shared" si="246"/>
        <v>-0.81032132445702876</v>
      </c>
      <c r="BW87" s="16"/>
      <c r="BX87" s="16"/>
      <c r="BY87" s="16"/>
      <c r="BZ87" s="16"/>
      <c r="CA87" s="16"/>
      <c r="CB87" s="16"/>
      <c r="CC87" s="28"/>
      <c r="CD87" s="28"/>
      <c r="CE87" s="28"/>
      <c r="CF87" s="28"/>
      <c r="CG87" s="28"/>
      <c r="CH87" s="28"/>
      <c r="CI87" s="28"/>
      <c r="CJ87" s="28"/>
      <c r="CK87" s="35"/>
      <c r="CM87" s="44"/>
      <c r="CN87" s="50">
        <f t="shared" si="247"/>
        <v>0.40894158617908111</v>
      </c>
      <c r="CO87">
        <f>$C$20/($C$21-$C$22*CO88)</f>
        <v>0.40894158617908111</v>
      </c>
      <c r="CP87">
        <f t="shared" si="249"/>
        <v>0.40894158617908111</v>
      </c>
      <c r="CQ87">
        <f t="shared" si="250"/>
        <v>0.40894158617908111</v>
      </c>
      <c r="CR87">
        <f t="shared" si="251"/>
        <v>0.40894158617908111</v>
      </c>
      <c r="CS87">
        <f t="shared" si="252"/>
        <v>0.40894158617908111</v>
      </c>
      <c r="CT87">
        <f t="shared" si="253"/>
        <v>0.40894158617908111</v>
      </c>
      <c r="CU87">
        <f t="shared" si="254"/>
        <v>0.40894158617908111</v>
      </c>
      <c r="CV87">
        <f t="shared" si="255"/>
        <v>0.40894158617908111</v>
      </c>
      <c r="CW87">
        <f t="shared" si="256"/>
        <v>0.40894158617908111</v>
      </c>
      <c r="CX87">
        <f t="shared" si="257"/>
        <v>0.40894158617908111</v>
      </c>
      <c r="CY87">
        <f t="shared" si="258"/>
        <v>0.40894158617908111</v>
      </c>
      <c r="CZ87">
        <f t="shared" si="259"/>
        <v>0.40894158617908111</v>
      </c>
      <c r="DA87">
        <f t="shared" si="260"/>
        <v>0.40894158617908111</v>
      </c>
      <c r="DB87">
        <f t="shared" si="261"/>
        <v>0.40894158617908111</v>
      </c>
      <c r="DC87">
        <f t="shared" si="262"/>
        <v>0.40894158617908111</v>
      </c>
      <c r="DD87">
        <f t="shared" si="263"/>
        <v>0.40894158616793713</v>
      </c>
      <c r="DE87">
        <f t="shared" si="264"/>
        <v>0.40894158616793713</v>
      </c>
      <c r="DF87">
        <f t="shared" si="265"/>
        <v>0.40894158616793713</v>
      </c>
      <c r="DG87">
        <f t="shared" si="266"/>
        <v>0.40894158616793713</v>
      </c>
      <c r="DH87">
        <f t="shared" si="267"/>
        <v>0.40894158616793713</v>
      </c>
      <c r="DI87">
        <f t="shared" si="268"/>
        <v>0.40894158616793713</v>
      </c>
      <c r="DJ87">
        <f t="shared" si="269"/>
        <v>0.40894158616793713</v>
      </c>
      <c r="DK87">
        <f t="shared" si="270"/>
        <v>0.40894158616793713</v>
      </c>
      <c r="DL87">
        <f t="shared" si="271"/>
        <v>0.40894158616793713</v>
      </c>
      <c r="DM87" s="50">
        <f t="shared" si="272"/>
        <v>0.40894158616793713</v>
      </c>
      <c r="DN87" s="16"/>
      <c r="DO87" s="16"/>
      <c r="DP87" s="16"/>
      <c r="DQ87" s="16"/>
      <c r="DR87" s="16"/>
      <c r="DS87" s="16"/>
      <c r="DT87" s="28"/>
      <c r="DU87" s="28"/>
      <c r="DV87" s="28"/>
      <c r="DW87" s="28"/>
      <c r="DX87" s="28"/>
      <c r="DY87" s="28"/>
      <c r="DZ87" s="28"/>
      <c r="EA87" s="28"/>
      <c r="EB87" s="35"/>
      <c r="EC87" s="58">
        <f t="shared" si="273"/>
        <v>40</v>
      </c>
      <c r="ED87" s="44"/>
      <c r="EE87" s="52">
        <f t="shared" si="274"/>
        <v>206.87044483732163</v>
      </c>
      <c r="EF87" s="18">
        <f t="shared" si="274"/>
        <v>0</v>
      </c>
      <c r="EG87" s="18">
        <f t="shared" si="275"/>
        <v>0</v>
      </c>
      <c r="EH87" s="18">
        <f t="shared" si="276"/>
        <v>0</v>
      </c>
      <c r="EI87" s="18">
        <f t="shared" si="277"/>
        <v>0</v>
      </c>
      <c r="EJ87" s="18">
        <f t="shared" si="278"/>
        <v>0</v>
      </c>
      <c r="EK87" s="18">
        <f t="shared" si="279"/>
        <v>0</v>
      </c>
      <c r="EL87" s="18">
        <f t="shared" si="280"/>
        <v>0</v>
      </c>
      <c r="EM87" s="18">
        <f t="shared" si="281"/>
        <v>0</v>
      </c>
      <c r="EN87" s="18">
        <f t="shared" si="282"/>
        <v>0</v>
      </c>
      <c r="EO87" s="18">
        <f t="shared" si="283"/>
        <v>0</v>
      </c>
      <c r="EP87" s="18">
        <f t="shared" si="284"/>
        <v>0</v>
      </c>
      <c r="EQ87" s="18">
        <f t="shared" si="285"/>
        <v>0</v>
      </c>
      <c r="ER87" s="18">
        <f t="shared" si="286"/>
        <v>0</v>
      </c>
      <c r="ES87" s="18">
        <f t="shared" si="287"/>
        <v>0</v>
      </c>
      <c r="ET87" s="18">
        <f t="shared" si="288"/>
        <v>0</v>
      </c>
      <c r="EU87" s="18">
        <f t="shared" si="289"/>
        <v>0</v>
      </c>
      <c r="EV87" s="18">
        <f t="shared" si="290"/>
        <v>0</v>
      </c>
      <c r="EW87" s="18">
        <f t="shared" si="291"/>
        <v>0</v>
      </c>
      <c r="EX87" s="18">
        <f t="shared" si="292"/>
        <v>0</v>
      </c>
      <c r="EY87" s="18">
        <f t="shared" si="293"/>
        <v>0</v>
      </c>
      <c r="EZ87" s="18">
        <f t="shared" si="294"/>
        <v>0</v>
      </c>
      <c r="FA87" s="18">
        <f t="shared" si="295"/>
        <v>0</v>
      </c>
      <c r="FB87" s="18">
        <f t="shared" si="296"/>
        <v>0</v>
      </c>
      <c r="FC87" s="18">
        <f t="shared" si="297"/>
        <v>0</v>
      </c>
      <c r="FD87" s="52">
        <f t="shared" si="298"/>
        <v>0</v>
      </c>
      <c r="FE87" s="16"/>
      <c r="FF87" s="16"/>
      <c r="FG87" s="16"/>
      <c r="FH87" s="16"/>
      <c r="FI87" s="16"/>
      <c r="FJ87" s="16"/>
      <c r="FK87" s="28"/>
      <c r="FL87" s="28"/>
      <c r="FM87" s="28"/>
      <c r="FN87" s="28"/>
      <c r="FO87" s="28"/>
      <c r="FP87" s="28"/>
      <c r="FQ87" s="28"/>
      <c r="FR87" s="28"/>
      <c r="FS87" s="35"/>
    </row>
    <row r="88" spans="5:175">
      <c r="E88" s="48"/>
      <c r="F88" s="57">
        <f t="shared" ref="F88:F100" si="324">CN88*F87+EE88</f>
        <v>350</v>
      </c>
      <c r="G88">
        <f t="shared" si="299"/>
        <v>0</v>
      </c>
      <c r="H88">
        <f t="shared" si="300"/>
        <v>0</v>
      </c>
      <c r="I88">
        <f t="shared" si="301"/>
        <v>0</v>
      </c>
      <c r="J88">
        <f t="shared" si="302"/>
        <v>0</v>
      </c>
      <c r="K88">
        <f t="shared" si="303"/>
        <v>0</v>
      </c>
      <c r="L88">
        <f t="shared" si="304"/>
        <v>0</v>
      </c>
      <c r="M88">
        <f t="shared" si="305"/>
        <v>0</v>
      </c>
      <c r="N88">
        <f t="shared" si="306"/>
        <v>0</v>
      </c>
      <c r="O88">
        <f t="shared" si="307"/>
        <v>0</v>
      </c>
      <c r="P88">
        <f t="shared" si="308"/>
        <v>0</v>
      </c>
      <c r="Q88">
        <f t="shared" si="309"/>
        <v>0</v>
      </c>
      <c r="R88">
        <f t="shared" si="310"/>
        <v>0</v>
      </c>
      <c r="S88">
        <f t="shared" si="311"/>
        <v>0</v>
      </c>
      <c r="T88">
        <f t="shared" si="312"/>
        <v>0</v>
      </c>
      <c r="U88">
        <f t="shared" si="313"/>
        <v>0</v>
      </c>
      <c r="V88">
        <f t="shared" si="314"/>
        <v>0</v>
      </c>
      <c r="W88">
        <f t="shared" si="315"/>
        <v>0</v>
      </c>
      <c r="X88">
        <f t="shared" si="316"/>
        <v>0</v>
      </c>
      <c r="Y88">
        <f t="shared" si="317"/>
        <v>0</v>
      </c>
      <c r="Z88">
        <f t="shared" si="318"/>
        <v>0</v>
      </c>
      <c r="AA88">
        <f t="shared" si="319"/>
        <v>0</v>
      </c>
      <c r="AB88">
        <f t="shared" si="320"/>
        <v>0</v>
      </c>
      <c r="AC88">
        <f t="shared" si="321"/>
        <v>0</v>
      </c>
      <c r="AD88">
        <f t="shared" si="322"/>
        <v>0</v>
      </c>
      <c r="AE88" s="57">
        <f t="shared" si="322"/>
        <v>0</v>
      </c>
      <c r="AF88" s="16"/>
      <c r="AG88" s="16"/>
      <c r="AH88" s="16"/>
      <c r="AI88" s="16"/>
      <c r="AJ88" s="16"/>
      <c r="AK88" s="16"/>
      <c r="AL88" s="28"/>
      <c r="AM88" s="28"/>
      <c r="AN88" s="28"/>
      <c r="AO88" s="28"/>
      <c r="AP88" s="28"/>
      <c r="AQ88" s="28"/>
      <c r="AR88" s="28"/>
      <c r="AS88" s="28"/>
      <c r="AT88" s="35"/>
      <c r="AU88" s="58">
        <f t="shared" si="221"/>
        <v>39</v>
      </c>
      <c r="AV88" s="46"/>
      <c r="AW88" s="50">
        <f t="shared" si="323"/>
        <v>-1201970000</v>
      </c>
      <c r="AX88">
        <f t="shared" si="222"/>
        <v>-491535518.32627541</v>
      </c>
      <c r="AY88">
        <f t="shared" si="223"/>
        <v>-201009314.52222621</v>
      </c>
      <c r="AZ88">
        <f t="shared" si="224"/>
        <v>-82201067.91524896</v>
      </c>
      <c r="BA88">
        <f t="shared" si="225"/>
        <v>-33615435.097960241</v>
      </c>
      <c r="BB88">
        <f t="shared" si="226"/>
        <v>-13746749.348685214</v>
      </c>
      <c r="BC88">
        <f t="shared" si="227"/>
        <v>-5621617.4833044084</v>
      </c>
      <c r="BD88">
        <f t="shared" si="228"/>
        <v>-2298913.1704519605</v>
      </c>
      <c r="BE88">
        <f t="shared" si="229"/>
        <v>-940121.19838710595</v>
      </c>
      <c r="BF88">
        <f t="shared" si="230"/>
        <v>-384454.65405881801</v>
      </c>
      <c r="BG88">
        <f t="shared" si="231"/>
        <v>-157219.49604117507</v>
      </c>
      <c r="BH88">
        <f t="shared" si="232"/>
        <v>-64293.5900893539</v>
      </c>
      <c r="BI88">
        <f t="shared" si="233"/>
        <v>-26292.322715855888</v>
      </c>
      <c r="BJ88">
        <f t="shared" si="234"/>
        <v>-10752.024165938054</v>
      </c>
      <c r="BK88">
        <f t="shared" si="235"/>
        <v>-4396.9498425536722</v>
      </c>
      <c r="BL88">
        <f t="shared" si="236"/>
        <v>-1798.0957055617841</v>
      </c>
      <c r="BM88">
        <f t="shared" si="237"/>
        <v>-735.31626310727847</v>
      </c>
      <c r="BN88">
        <f t="shared" si="238"/>
        <v>-300.70177357889651</v>
      </c>
      <c r="BO88">
        <f t="shared" si="239"/>
        <v>-122.97037629545133</v>
      </c>
      <c r="BP88">
        <f t="shared" si="240"/>
        <v>-50.289940771667659</v>
      </c>
      <c r="BQ88">
        <f t="shared" si="241"/>
        <v>-20.571125794665335</v>
      </c>
      <c r="BR88">
        <f t="shared" si="242"/>
        <v>-8.4257835052350831</v>
      </c>
      <c r="BS88">
        <f t="shared" si="243"/>
        <v>-3.4784078112471994</v>
      </c>
      <c r="BT88">
        <f t="shared" si="244"/>
        <v>-1.5025614967083543</v>
      </c>
      <c r="BU88">
        <f t="shared" si="245"/>
        <v>-0.81032132445702887</v>
      </c>
      <c r="BV88" s="50">
        <f t="shared" si="246"/>
        <v>-0.81032132445702876</v>
      </c>
      <c r="BW88" s="16"/>
      <c r="BX88" s="16"/>
      <c r="BY88" s="16"/>
      <c r="BZ88" s="16"/>
      <c r="CA88" s="16"/>
      <c r="CB88" s="16"/>
      <c r="CC88" s="28"/>
      <c r="CD88" s="28"/>
      <c r="CE88" s="28"/>
      <c r="CF88" s="28"/>
      <c r="CG88" s="28"/>
      <c r="CH88" s="28"/>
      <c r="CI88" s="28"/>
      <c r="CJ88" s="28"/>
      <c r="CK88" s="35"/>
      <c r="CM88" s="44"/>
      <c r="CN88" s="50">
        <f t="shared" si="247"/>
        <v>0.40894158623457427</v>
      </c>
      <c r="CO88">
        <f t="shared" si="248"/>
        <v>0.40894158623457427</v>
      </c>
      <c r="CP88">
        <f t="shared" si="249"/>
        <v>0.40894158623457427</v>
      </c>
      <c r="CQ88">
        <f t="shared" si="250"/>
        <v>0.40894158623457427</v>
      </c>
      <c r="CR88">
        <f t="shared" si="251"/>
        <v>0.40894158623457427</v>
      </c>
      <c r="CS88">
        <f t="shared" si="252"/>
        <v>0.40894158623457427</v>
      </c>
      <c r="CT88">
        <f t="shared" si="253"/>
        <v>0.40894158623457427</v>
      </c>
      <c r="CU88">
        <f t="shared" si="254"/>
        <v>0.40894158623457427</v>
      </c>
      <c r="CV88">
        <f t="shared" si="255"/>
        <v>0.40894158623457427</v>
      </c>
      <c r="CW88">
        <f t="shared" si="256"/>
        <v>0.40894158623457427</v>
      </c>
      <c r="CX88">
        <f t="shared" si="257"/>
        <v>0.40894158623457427</v>
      </c>
      <c r="CY88">
        <f t="shared" si="258"/>
        <v>0.40894158623457427</v>
      </c>
      <c r="CZ88">
        <f t="shared" si="259"/>
        <v>0.40894158623457427</v>
      </c>
      <c r="DA88">
        <f t="shared" si="260"/>
        <v>0.40894158623457427</v>
      </c>
      <c r="DB88">
        <f t="shared" si="261"/>
        <v>0.40894158623457427</v>
      </c>
      <c r="DC88">
        <f t="shared" si="262"/>
        <v>0.40894158623457427</v>
      </c>
      <c r="DD88">
        <f t="shared" si="263"/>
        <v>0.40894158616793713</v>
      </c>
      <c r="DE88">
        <f t="shared" si="264"/>
        <v>0.40894158616793713</v>
      </c>
      <c r="DF88">
        <f t="shared" si="265"/>
        <v>0.40894158616793713</v>
      </c>
      <c r="DG88">
        <f t="shared" si="266"/>
        <v>0.40894158616793713</v>
      </c>
      <c r="DH88">
        <f t="shared" si="267"/>
        <v>0.40894158616793713</v>
      </c>
      <c r="DI88">
        <f t="shared" si="268"/>
        <v>0.40894158616793713</v>
      </c>
      <c r="DJ88">
        <f t="shared" si="269"/>
        <v>0.40894158616793713</v>
      </c>
      <c r="DK88">
        <f t="shared" si="270"/>
        <v>0.40894158616793713</v>
      </c>
      <c r="DL88">
        <f t="shared" si="271"/>
        <v>0.40894158616793713</v>
      </c>
      <c r="DM88" s="50">
        <f t="shared" si="272"/>
        <v>0.40894158616793713</v>
      </c>
      <c r="DN88" s="16"/>
      <c r="DO88" s="16"/>
      <c r="DP88" s="16"/>
      <c r="DQ88" s="16"/>
      <c r="DR88" s="16"/>
      <c r="DS88" s="16"/>
      <c r="DT88" s="28"/>
      <c r="DU88" s="28"/>
      <c r="DV88" s="28"/>
      <c r="DW88" s="28"/>
      <c r="DX88" s="28"/>
      <c r="DY88" s="28"/>
      <c r="DZ88" s="28"/>
      <c r="EA88" s="28"/>
      <c r="EB88" s="35"/>
      <c r="EC88" s="58">
        <f t="shared" si="273"/>
        <v>39</v>
      </c>
      <c r="ED88" s="44"/>
      <c r="EE88" s="52">
        <f t="shared" si="274"/>
        <v>206.870444817899</v>
      </c>
      <c r="EF88" s="18">
        <f t="shared" si="274"/>
        <v>0</v>
      </c>
      <c r="EG88" s="18">
        <f t="shared" si="275"/>
        <v>0</v>
      </c>
      <c r="EH88" s="18">
        <f t="shared" si="276"/>
        <v>0</v>
      </c>
      <c r="EI88" s="18">
        <f t="shared" si="277"/>
        <v>0</v>
      </c>
      <c r="EJ88" s="18">
        <f t="shared" si="278"/>
        <v>0</v>
      </c>
      <c r="EK88" s="18">
        <f t="shared" si="279"/>
        <v>0</v>
      </c>
      <c r="EL88" s="18">
        <f t="shared" si="280"/>
        <v>0</v>
      </c>
      <c r="EM88" s="18">
        <f t="shared" si="281"/>
        <v>0</v>
      </c>
      <c r="EN88" s="18">
        <f t="shared" si="282"/>
        <v>0</v>
      </c>
      <c r="EO88" s="18">
        <f t="shared" si="283"/>
        <v>0</v>
      </c>
      <c r="EP88" s="18">
        <f t="shared" si="284"/>
        <v>0</v>
      </c>
      <c r="EQ88" s="18">
        <f t="shared" si="285"/>
        <v>0</v>
      </c>
      <c r="ER88" s="18">
        <f t="shared" si="286"/>
        <v>0</v>
      </c>
      <c r="ES88" s="18">
        <f t="shared" si="287"/>
        <v>0</v>
      </c>
      <c r="ET88" s="18">
        <f t="shared" si="288"/>
        <v>0</v>
      </c>
      <c r="EU88" s="18">
        <f t="shared" si="289"/>
        <v>0</v>
      </c>
      <c r="EV88" s="18">
        <f t="shared" si="290"/>
        <v>0</v>
      </c>
      <c r="EW88" s="18">
        <f t="shared" si="291"/>
        <v>0</v>
      </c>
      <c r="EX88" s="18">
        <f t="shared" si="292"/>
        <v>0</v>
      </c>
      <c r="EY88" s="18">
        <f t="shared" si="293"/>
        <v>0</v>
      </c>
      <c r="EZ88" s="18">
        <f t="shared" si="294"/>
        <v>0</v>
      </c>
      <c r="FA88" s="18">
        <f t="shared" si="295"/>
        <v>0</v>
      </c>
      <c r="FB88" s="18">
        <f t="shared" si="296"/>
        <v>0</v>
      </c>
      <c r="FC88" s="18">
        <f t="shared" si="297"/>
        <v>0</v>
      </c>
      <c r="FD88" s="52">
        <f t="shared" si="298"/>
        <v>0</v>
      </c>
      <c r="FE88" s="16"/>
      <c r="FF88" s="16"/>
      <c r="FG88" s="16"/>
      <c r="FH88" s="16"/>
      <c r="FI88" s="16"/>
      <c r="FJ88" s="16"/>
      <c r="FK88" s="28"/>
      <c r="FL88" s="28"/>
      <c r="FM88" s="28"/>
      <c r="FN88" s="28"/>
      <c r="FO88" s="28"/>
      <c r="FP88" s="28"/>
      <c r="FQ88" s="28"/>
      <c r="FR88" s="28"/>
      <c r="FS88" s="35"/>
    </row>
    <row r="89" spans="5:175">
      <c r="E89" s="48"/>
      <c r="F89" s="57">
        <f t="shared" si="324"/>
        <v>350</v>
      </c>
      <c r="G89">
        <f t="shared" si="299"/>
        <v>0</v>
      </c>
      <c r="H89">
        <f t="shared" si="300"/>
        <v>0</v>
      </c>
      <c r="I89">
        <f t="shared" si="301"/>
        <v>0</v>
      </c>
      <c r="J89">
        <f t="shared" si="302"/>
        <v>0</v>
      </c>
      <c r="K89">
        <f t="shared" si="303"/>
        <v>0</v>
      </c>
      <c r="L89">
        <f t="shared" si="304"/>
        <v>0</v>
      </c>
      <c r="M89">
        <f t="shared" si="305"/>
        <v>0</v>
      </c>
      <c r="N89">
        <f t="shared" si="306"/>
        <v>0</v>
      </c>
      <c r="O89">
        <f t="shared" si="307"/>
        <v>0</v>
      </c>
      <c r="P89">
        <f t="shared" si="308"/>
        <v>0</v>
      </c>
      <c r="Q89">
        <f t="shared" si="309"/>
        <v>0</v>
      </c>
      <c r="R89">
        <f t="shared" si="310"/>
        <v>0</v>
      </c>
      <c r="S89">
        <f t="shared" si="311"/>
        <v>0</v>
      </c>
      <c r="T89">
        <f t="shared" si="312"/>
        <v>0</v>
      </c>
      <c r="U89">
        <f t="shared" si="313"/>
        <v>0</v>
      </c>
      <c r="V89">
        <f t="shared" si="314"/>
        <v>0</v>
      </c>
      <c r="W89">
        <f t="shared" si="315"/>
        <v>0</v>
      </c>
      <c r="X89">
        <f t="shared" si="316"/>
        <v>0</v>
      </c>
      <c r="Y89">
        <f t="shared" si="317"/>
        <v>0</v>
      </c>
      <c r="Z89">
        <f t="shared" si="318"/>
        <v>0</v>
      </c>
      <c r="AA89">
        <f t="shared" si="319"/>
        <v>0</v>
      </c>
      <c r="AB89">
        <f t="shared" si="320"/>
        <v>0</v>
      </c>
      <c r="AC89">
        <f t="shared" si="321"/>
        <v>0</v>
      </c>
      <c r="AD89">
        <f t="shared" si="322"/>
        <v>0</v>
      </c>
      <c r="AE89" s="57">
        <f t="shared" si="322"/>
        <v>0</v>
      </c>
      <c r="AF89" s="16"/>
      <c r="AG89" s="16"/>
      <c r="AH89" s="16"/>
      <c r="AI89" s="16"/>
      <c r="AJ89" s="16"/>
      <c r="AK89" s="16"/>
      <c r="AL89" s="28"/>
      <c r="AM89" s="28"/>
      <c r="AN89" s="28"/>
      <c r="AO89" s="28"/>
      <c r="AP89" s="28"/>
      <c r="AQ89" s="28"/>
      <c r="AR89" s="28"/>
      <c r="AS89" s="28"/>
      <c r="AT89" s="35"/>
      <c r="AU89" s="58">
        <f t="shared" si="221"/>
        <v>38</v>
      </c>
      <c r="AV89" s="46"/>
      <c r="AW89" s="50">
        <f t="shared" si="323"/>
        <v>-1201970000</v>
      </c>
      <c r="AX89">
        <f t="shared" si="222"/>
        <v>-491535518.32627541</v>
      </c>
      <c r="AY89">
        <f t="shared" si="223"/>
        <v>-201009314.52222621</v>
      </c>
      <c r="AZ89">
        <f t="shared" si="224"/>
        <v>-82201067.91524896</v>
      </c>
      <c r="BA89">
        <f t="shared" si="225"/>
        <v>-33615435.097960241</v>
      </c>
      <c r="BB89">
        <f t="shared" si="226"/>
        <v>-13746749.348685214</v>
      </c>
      <c r="BC89">
        <f t="shared" si="227"/>
        <v>-5621617.4833044084</v>
      </c>
      <c r="BD89">
        <f t="shared" si="228"/>
        <v>-2298913.1704519605</v>
      </c>
      <c r="BE89">
        <f t="shared" si="229"/>
        <v>-940121.19838710595</v>
      </c>
      <c r="BF89">
        <f t="shared" si="230"/>
        <v>-384454.65405881801</v>
      </c>
      <c r="BG89">
        <f t="shared" si="231"/>
        <v>-157219.49604117507</v>
      </c>
      <c r="BH89">
        <f t="shared" si="232"/>
        <v>-64293.5900893539</v>
      </c>
      <c r="BI89">
        <f t="shared" si="233"/>
        <v>-26292.322715855888</v>
      </c>
      <c r="BJ89">
        <f t="shared" si="234"/>
        <v>-10752.024165938054</v>
      </c>
      <c r="BK89">
        <f t="shared" si="235"/>
        <v>-4396.9498425536722</v>
      </c>
      <c r="BL89">
        <f t="shared" si="236"/>
        <v>-1798.0957055617841</v>
      </c>
      <c r="BM89">
        <f t="shared" si="237"/>
        <v>-735.31626310727847</v>
      </c>
      <c r="BN89">
        <f t="shared" si="238"/>
        <v>-300.70177357889651</v>
      </c>
      <c r="BO89">
        <f t="shared" si="239"/>
        <v>-122.97037629545133</v>
      </c>
      <c r="BP89">
        <f t="shared" si="240"/>
        <v>-50.289940771667659</v>
      </c>
      <c r="BQ89">
        <f t="shared" si="241"/>
        <v>-20.571125794665335</v>
      </c>
      <c r="BR89">
        <f t="shared" si="242"/>
        <v>-8.4257835052350831</v>
      </c>
      <c r="BS89">
        <f t="shared" si="243"/>
        <v>-3.4784078112471994</v>
      </c>
      <c r="BT89">
        <f t="shared" si="244"/>
        <v>-1.5025614967083543</v>
      </c>
      <c r="BU89">
        <f t="shared" si="245"/>
        <v>-0.81032132445702887</v>
      </c>
      <c r="BV89" s="50">
        <f t="shared" si="246"/>
        <v>-0.81032132445702876</v>
      </c>
      <c r="BW89" s="16"/>
      <c r="BX89" s="16"/>
      <c r="BY89" s="16"/>
      <c r="BZ89" s="16"/>
      <c r="CA89" s="16"/>
      <c r="CB89" s="16"/>
      <c r="CC89" s="28"/>
      <c r="CD89" s="28"/>
      <c r="CE89" s="28"/>
      <c r="CF89" s="28"/>
      <c r="CG89" s="28"/>
      <c r="CH89" s="28"/>
      <c r="CI89" s="28"/>
      <c r="CJ89" s="28"/>
      <c r="CK89" s="35"/>
      <c r="CM89" s="44"/>
      <c r="CN89" s="50">
        <f t="shared" si="247"/>
        <v>0.40894158656640572</v>
      </c>
      <c r="CO89">
        <f t="shared" si="248"/>
        <v>0.40894158656640572</v>
      </c>
      <c r="CP89">
        <f t="shared" si="249"/>
        <v>0.40894158656640572</v>
      </c>
      <c r="CQ89">
        <f t="shared" si="250"/>
        <v>0.40894158656640572</v>
      </c>
      <c r="CR89">
        <f t="shared" si="251"/>
        <v>0.40894158656640572</v>
      </c>
      <c r="CS89">
        <f t="shared" si="252"/>
        <v>0.40894158656640572</v>
      </c>
      <c r="CT89">
        <f t="shared" si="253"/>
        <v>0.40894158656640572</v>
      </c>
      <c r="CU89">
        <f t="shared" si="254"/>
        <v>0.40894158656640572</v>
      </c>
      <c r="CV89">
        <f t="shared" si="255"/>
        <v>0.40894158656640572</v>
      </c>
      <c r="CW89">
        <f t="shared" si="256"/>
        <v>0.40894158656640572</v>
      </c>
      <c r="CX89">
        <f t="shared" si="257"/>
        <v>0.40894158656640572</v>
      </c>
      <c r="CY89">
        <f t="shared" si="258"/>
        <v>0.40894158656640572</v>
      </c>
      <c r="CZ89">
        <f t="shared" si="259"/>
        <v>0.40894158656640572</v>
      </c>
      <c r="DA89">
        <f t="shared" si="260"/>
        <v>0.40894158656640572</v>
      </c>
      <c r="DB89">
        <f t="shared" si="261"/>
        <v>0.40894158656640572</v>
      </c>
      <c r="DC89">
        <f t="shared" si="262"/>
        <v>0.40894158656640572</v>
      </c>
      <c r="DD89">
        <f t="shared" si="263"/>
        <v>0.40894158616793713</v>
      </c>
      <c r="DE89">
        <f t="shared" si="264"/>
        <v>0.40894158616793713</v>
      </c>
      <c r="DF89">
        <f t="shared" si="265"/>
        <v>0.40894158616793713</v>
      </c>
      <c r="DG89">
        <f t="shared" si="266"/>
        <v>0.40894158616793713</v>
      </c>
      <c r="DH89">
        <f t="shared" si="267"/>
        <v>0.40894158616793713</v>
      </c>
      <c r="DI89">
        <f t="shared" si="268"/>
        <v>0.40894158616793713</v>
      </c>
      <c r="DJ89">
        <f t="shared" si="269"/>
        <v>0.40894158616793713</v>
      </c>
      <c r="DK89">
        <f t="shared" si="270"/>
        <v>0.40894158616793713</v>
      </c>
      <c r="DL89">
        <f t="shared" si="271"/>
        <v>0.40894158616793713</v>
      </c>
      <c r="DM89" s="50">
        <f t="shared" si="272"/>
        <v>0.40894158616793713</v>
      </c>
      <c r="DN89" s="16"/>
      <c r="DO89" s="16"/>
      <c r="DP89" s="16"/>
      <c r="DQ89" s="16"/>
      <c r="DR89" s="16"/>
      <c r="DS89" s="16"/>
      <c r="DT89" s="28"/>
      <c r="DU89" s="28"/>
      <c r="DV89" s="28"/>
      <c r="DW89" s="28"/>
      <c r="DX89" s="28"/>
      <c r="DY89" s="28"/>
      <c r="DZ89" s="28"/>
      <c r="EA89" s="28"/>
      <c r="EB89" s="35"/>
      <c r="EC89" s="58">
        <f t="shared" si="273"/>
        <v>38</v>
      </c>
      <c r="ED89" s="44"/>
      <c r="EE89" s="52">
        <f t="shared" si="274"/>
        <v>206.87044470175803</v>
      </c>
      <c r="EF89" s="18">
        <f t="shared" si="274"/>
        <v>0</v>
      </c>
      <c r="EG89" s="18">
        <f t="shared" si="275"/>
        <v>0</v>
      </c>
      <c r="EH89" s="18">
        <f t="shared" si="276"/>
        <v>0</v>
      </c>
      <c r="EI89" s="18">
        <f t="shared" si="277"/>
        <v>0</v>
      </c>
      <c r="EJ89" s="18">
        <f t="shared" si="278"/>
        <v>0</v>
      </c>
      <c r="EK89" s="18">
        <f t="shared" si="279"/>
        <v>0</v>
      </c>
      <c r="EL89" s="18">
        <f t="shared" si="280"/>
        <v>0</v>
      </c>
      <c r="EM89" s="18">
        <f t="shared" si="281"/>
        <v>0</v>
      </c>
      <c r="EN89" s="18">
        <f t="shared" si="282"/>
        <v>0</v>
      </c>
      <c r="EO89" s="18">
        <f t="shared" si="283"/>
        <v>0</v>
      </c>
      <c r="EP89" s="18">
        <f t="shared" si="284"/>
        <v>0</v>
      </c>
      <c r="EQ89" s="18">
        <f t="shared" si="285"/>
        <v>0</v>
      </c>
      <c r="ER89" s="18">
        <f t="shared" si="286"/>
        <v>0</v>
      </c>
      <c r="ES89" s="18">
        <f t="shared" si="287"/>
        <v>0</v>
      </c>
      <c r="ET89" s="18">
        <f t="shared" si="288"/>
        <v>0</v>
      </c>
      <c r="EU89" s="18">
        <f t="shared" si="289"/>
        <v>0</v>
      </c>
      <c r="EV89" s="18">
        <f t="shared" si="290"/>
        <v>0</v>
      </c>
      <c r="EW89" s="18">
        <f t="shared" si="291"/>
        <v>0</v>
      </c>
      <c r="EX89" s="18">
        <f t="shared" si="292"/>
        <v>0</v>
      </c>
      <c r="EY89" s="18">
        <f t="shared" si="293"/>
        <v>0</v>
      </c>
      <c r="EZ89" s="18">
        <f t="shared" si="294"/>
        <v>0</v>
      </c>
      <c r="FA89" s="18">
        <f t="shared" si="295"/>
        <v>0</v>
      </c>
      <c r="FB89" s="18">
        <f t="shared" si="296"/>
        <v>0</v>
      </c>
      <c r="FC89" s="18">
        <f t="shared" si="297"/>
        <v>0</v>
      </c>
      <c r="FD89" s="52">
        <f t="shared" si="298"/>
        <v>0</v>
      </c>
      <c r="FE89" s="16"/>
      <c r="FF89" s="16"/>
      <c r="FG89" s="16"/>
      <c r="FH89" s="16"/>
      <c r="FI89" s="16"/>
      <c r="FJ89" s="16"/>
      <c r="FK89" s="28"/>
      <c r="FL89" s="28"/>
      <c r="FM89" s="28"/>
      <c r="FN89" s="28"/>
      <c r="FO89" s="28"/>
      <c r="FP89" s="28"/>
      <c r="FQ89" s="28"/>
      <c r="FR89" s="28"/>
      <c r="FS89" s="35"/>
    </row>
    <row r="90" spans="5:175">
      <c r="E90" s="48"/>
      <c r="F90" s="57">
        <f t="shared" si="324"/>
        <v>350</v>
      </c>
      <c r="G90">
        <f t="shared" si="299"/>
        <v>0</v>
      </c>
      <c r="H90">
        <f t="shared" si="300"/>
        <v>0</v>
      </c>
      <c r="I90">
        <f t="shared" si="301"/>
        <v>0</v>
      </c>
      <c r="J90">
        <f t="shared" si="302"/>
        <v>0</v>
      </c>
      <c r="K90">
        <f t="shared" si="303"/>
        <v>0</v>
      </c>
      <c r="L90">
        <f t="shared" si="304"/>
        <v>0</v>
      </c>
      <c r="M90">
        <f t="shared" si="305"/>
        <v>0</v>
      </c>
      <c r="N90">
        <f t="shared" si="306"/>
        <v>0</v>
      </c>
      <c r="O90">
        <f t="shared" si="307"/>
        <v>0</v>
      </c>
      <c r="P90">
        <f t="shared" si="308"/>
        <v>0</v>
      </c>
      <c r="Q90">
        <f t="shared" si="309"/>
        <v>0</v>
      </c>
      <c r="R90">
        <f t="shared" si="310"/>
        <v>0</v>
      </c>
      <c r="S90">
        <f t="shared" si="311"/>
        <v>0</v>
      </c>
      <c r="T90">
        <f t="shared" si="312"/>
        <v>0</v>
      </c>
      <c r="U90">
        <f t="shared" si="313"/>
        <v>0</v>
      </c>
      <c r="V90">
        <f t="shared" si="314"/>
        <v>0</v>
      </c>
      <c r="W90">
        <f t="shared" si="315"/>
        <v>0</v>
      </c>
      <c r="X90">
        <f t="shared" si="316"/>
        <v>0</v>
      </c>
      <c r="Y90">
        <f t="shared" si="317"/>
        <v>0</v>
      </c>
      <c r="Z90">
        <f t="shared" si="318"/>
        <v>0</v>
      </c>
      <c r="AA90">
        <f t="shared" si="319"/>
        <v>0</v>
      </c>
      <c r="AB90">
        <f t="shared" si="320"/>
        <v>0</v>
      </c>
      <c r="AC90">
        <f t="shared" si="321"/>
        <v>0</v>
      </c>
      <c r="AD90">
        <f t="shared" si="322"/>
        <v>0</v>
      </c>
      <c r="AE90" s="57">
        <f t="shared" si="322"/>
        <v>0</v>
      </c>
      <c r="AF90" s="16"/>
      <c r="AG90" s="16"/>
      <c r="AH90" s="16"/>
      <c r="AI90" s="16"/>
      <c r="AJ90" s="16"/>
      <c r="AK90" s="16"/>
      <c r="AL90" s="28"/>
      <c r="AM90" s="28"/>
      <c r="AN90" s="28"/>
      <c r="AO90" s="28"/>
      <c r="AP90" s="28"/>
      <c r="AQ90" s="28"/>
      <c r="AR90" s="28"/>
      <c r="AS90" s="28"/>
      <c r="AT90" s="35"/>
      <c r="AU90" s="58">
        <f t="shared" si="221"/>
        <v>37</v>
      </c>
      <c r="AV90" s="46"/>
      <c r="AW90" s="50">
        <f t="shared" si="323"/>
        <v>-1201970000</v>
      </c>
      <c r="AX90">
        <f t="shared" si="222"/>
        <v>-491535518.32627541</v>
      </c>
      <c r="AY90">
        <f t="shared" si="223"/>
        <v>-201009314.52222621</v>
      </c>
      <c r="AZ90">
        <f t="shared" si="224"/>
        <v>-82201067.91524896</v>
      </c>
      <c r="BA90">
        <f t="shared" si="225"/>
        <v>-33615435.097960241</v>
      </c>
      <c r="BB90">
        <f t="shared" si="226"/>
        <v>-13746749.348685214</v>
      </c>
      <c r="BC90">
        <f t="shared" si="227"/>
        <v>-5621617.4833044084</v>
      </c>
      <c r="BD90">
        <f t="shared" si="228"/>
        <v>-2298913.1704519605</v>
      </c>
      <c r="BE90">
        <f t="shared" si="229"/>
        <v>-940121.19838710595</v>
      </c>
      <c r="BF90">
        <f t="shared" si="230"/>
        <v>-384454.65405881801</v>
      </c>
      <c r="BG90">
        <f t="shared" si="231"/>
        <v>-157219.49604117507</v>
      </c>
      <c r="BH90">
        <f t="shared" si="232"/>
        <v>-64293.5900893539</v>
      </c>
      <c r="BI90">
        <f t="shared" si="233"/>
        <v>-26292.322715855888</v>
      </c>
      <c r="BJ90">
        <f t="shared" si="234"/>
        <v>-10752.024165938054</v>
      </c>
      <c r="BK90">
        <f t="shared" si="235"/>
        <v>-4396.9498425536722</v>
      </c>
      <c r="BL90">
        <f t="shared" si="236"/>
        <v>-1798.0957055617841</v>
      </c>
      <c r="BM90">
        <f t="shared" si="237"/>
        <v>-735.31626310727847</v>
      </c>
      <c r="BN90">
        <f t="shared" si="238"/>
        <v>-300.70177357889651</v>
      </c>
      <c r="BO90">
        <f t="shared" si="239"/>
        <v>-122.97037629545133</v>
      </c>
      <c r="BP90">
        <f t="shared" si="240"/>
        <v>-50.289940771667659</v>
      </c>
      <c r="BQ90">
        <f t="shared" si="241"/>
        <v>-20.571125794665335</v>
      </c>
      <c r="BR90">
        <f t="shared" si="242"/>
        <v>-8.4257835052350831</v>
      </c>
      <c r="BS90">
        <f t="shared" si="243"/>
        <v>-3.4784078112471994</v>
      </c>
      <c r="BT90">
        <f t="shared" si="244"/>
        <v>-1.5025614967083543</v>
      </c>
      <c r="BU90">
        <f t="shared" si="245"/>
        <v>-0.81032132445702887</v>
      </c>
      <c r="BV90" s="50">
        <f t="shared" si="246"/>
        <v>-0.81032132445702876</v>
      </c>
      <c r="BW90" s="16"/>
      <c r="BX90" s="16"/>
      <c r="BY90" s="16"/>
      <c r="BZ90" s="16"/>
      <c r="CA90" s="16"/>
      <c r="CB90" s="16"/>
      <c r="CC90" s="28"/>
      <c r="CD90" s="28"/>
      <c r="CE90" s="28"/>
      <c r="CF90" s="28"/>
      <c r="CG90" s="28"/>
      <c r="CH90" s="28"/>
      <c r="CI90" s="28"/>
      <c r="CJ90" s="28"/>
      <c r="CK90" s="35"/>
      <c r="CM90" s="44"/>
      <c r="CN90" s="50">
        <f t="shared" si="247"/>
        <v>0.40894158855064883</v>
      </c>
      <c r="CO90">
        <f t="shared" si="248"/>
        <v>0.40894158855064883</v>
      </c>
      <c r="CP90">
        <f t="shared" si="249"/>
        <v>0.40894158855064883</v>
      </c>
      <c r="CQ90">
        <f t="shared" si="250"/>
        <v>0.40894158855064883</v>
      </c>
      <c r="CR90">
        <f t="shared" si="251"/>
        <v>0.40894158855064883</v>
      </c>
      <c r="CS90">
        <f t="shared" si="252"/>
        <v>0.40894158855064883</v>
      </c>
      <c r="CT90">
        <f t="shared" si="253"/>
        <v>0.40894158855064883</v>
      </c>
      <c r="CU90">
        <f t="shared" si="254"/>
        <v>0.40894158855064883</v>
      </c>
      <c r="CV90">
        <f t="shared" si="255"/>
        <v>0.40894158855064883</v>
      </c>
      <c r="CW90">
        <f t="shared" si="256"/>
        <v>0.40894158855064883</v>
      </c>
      <c r="CX90">
        <f t="shared" si="257"/>
        <v>0.40894158855064883</v>
      </c>
      <c r="CY90">
        <f t="shared" si="258"/>
        <v>0.40894158855064883</v>
      </c>
      <c r="CZ90">
        <f t="shared" si="259"/>
        <v>0.40894158855064883</v>
      </c>
      <c r="DA90">
        <f t="shared" si="260"/>
        <v>0.40894158855064883</v>
      </c>
      <c r="DB90">
        <f t="shared" si="261"/>
        <v>0.40894158855064883</v>
      </c>
      <c r="DC90">
        <f t="shared" si="262"/>
        <v>0.40894158855064883</v>
      </c>
      <c r="DD90">
        <f t="shared" si="263"/>
        <v>0.40894158616793713</v>
      </c>
      <c r="DE90">
        <f t="shared" si="264"/>
        <v>0.40894158616793713</v>
      </c>
      <c r="DF90">
        <f t="shared" si="265"/>
        <v>0.40894158616793713</v>
      </c>
      <c r="DG90">
        <f t="shared" si="266"/>
        <v>0.40894158616793713</v>
      </c>
      <c r="DH90">
        <f t="shared" si="267"/>
        <v>0.40894158616793713</v>
      </c>
      <c r="DI90">
        <f t="shared" si="268"/>
        <v>0.40894158616793713</v>
      </c>
      <c r="DJ90">
        <f t="shared" si="269"/>
        <v>0.40894158616793713</v>
      </c>
      <c r="DK90">
        <f t="shared" si="270"/>
        <v>0.40894158616793713</v>
      </c>
      <c r="DL90">
        <f t="shared" si="271"/>
        <v>0.40894158616793713</v>
      </c>
      <c r="DM90" s="50">
        <f t="shared" si="272"/>
        <v>0.40894158616793713</v>
      </c>
      <c r="DN90" s="16"/>
      <c r="DO90" s="16"/>
      <c r="DP90" s="16"/>
      <c r="DQ90" s="16"/>
      <c r="DR90" s="16"/>
      <c r="DS90" s="16"/>
      <c r="DT90" s="28"/>
      <c r="DU90" s="28"/>
      <c r="DV90" s="28"/>
      <c r="DW90" s="28"/>
      <c r="DX90" s="28"/>
      <c r="DY90" s="28"/>
      <c r="DZ90" s="28"/>
      <c r="EA90" s="28"/>
      <c r="EB90" s="35"/>
      <c r="EC90" s="58">
        <f t="shared" si="273"/>
        <v>37</v>
      </c>
      <c r="ED90" s="44"/>
      <c r="EE90" s="52">
        <f t="shared" si="274"/>
        <v>206.87044400727291</v>
      </c>
      <c r="EF90" s="18">
        <f t="shared" si="274"/>
        <v>0</v>
      </c>
      <c r="EG90" s="18">
        <f t="shared" si="275"/>
        <v>0</v>
      </c>
      <c r="EH90" s="18">
        <f t="shared" si="276"/>
        <v>0</v>
      </c>
      <c r="EI90" s="18">
        <f t="shared" si="277"/>
        <v>0</v>
      </c>
      <c r="EJ90" s="18">
        <f t="shared" si="278"/>
        <v>0</v>
      </c>
      <c r="EK90" s="18">
        <f t="shared" si="279"/>
        <v>0</v>
      </c>
      <c r="EL90" s="18">
        <f t="shared" si="280"/>
        <v>0</v>
      </c>
      <c r="EM90" s="18">
        <f t="shared" si="281"/>
        <v>0</v>
      </c>
      <c r="EN90" s="18">
        <f t="shared" si="282"/>
        <v>0</v>
      </c>
      <c r="EO90" s="18">
        <f t="shared" si="283"/>
        <v>0</v>
      </c>
      <c r="EP90" s="18">
        <f t="shared" si="284"/>
        <v>0</v>
      </c>
      <c r="EQ90" s="18">
        <f t="shared" si="285"/>
        <v>0</v>
      </c>
      <c r="ER90" s="18">
        <f t="shared" si="286"/>
        <v>0</v>
      </c>
      <c r="ES90" s="18">
        <f t="shared" si="287"/>
        <v>0</v>
      </c>
      <c r="ET90" s="18">
        <f t="shared" si="288"/>
        <v>0</v>
      </c>
      <c r="EU90" s="18">
        <f t="shared" si="289"/>
        <v>0</v>
      </c>
      <c r="EV90" s="18">
        <f t="shared" si="290"/>
        <v>0</v>
      </c>
      <c r="EW90" s="18">
        <f t="shared" si="291"/>
        <v>0</v>
      </c>
      <c r="EX90" s="18">
        <f t="shared" si="292"/>
        <v>0</v>
      </c>
      <c r="EY90" s="18">
        <f t="shared" si="293"/>
        <v>0</v>
      </c>
      <c r="EZ90" s="18">
        <f t="shared" si="294"/>
        <v>0</v>
      </c>
      <c r="FA90" s="18">
        <f t="shared" si="295"/>
        <v>0</v>
      </c>
      <c r="FB90" s="18">
        <f t="shared" si="296"/>
        <v>0</v>
      </c>
      <c r="FC90" s="18">
        <f t="shared" si="297"/>
        <v>0</v>
      </c>
      <c r="FD90" s="52">
        <f t="shared" si="298"/>
        <v>0</v>
      </c>
      <c r="FE90" s="16"/>
      <c r="FF90" s="16"/>
      <c r="FG90" s="16"/>
      <c r="FH90" s="16"/>
      <c r="FI90" s="16"/>
      <c r="FJ90" s="16"/>
      <c r="FK90" s="28"/>
      <c r="FL90" s="28"/>
      <c r="FM90" s="28"/>
      <c r="FN90" s="28"/>
      <c r="FO90" s="28"/>
      <c r="FP90" s="28"/>
      <c r="FQ90" s="28"/>
      <c r="FR90" s="28"/>
      <c r="FS90" s="35"/>
    </row>
    <row r="91" spans="5:175">
      <c r="E91" s="48"/>
      <c r="F91" s="57">
        <f t="shared" si="324"/>
        <v>350</v>
      </c>
      <c r="G91">
        <f t="shared" si="299"/>
        <v>0</v>
      </c>
      <c r="H91">
        <f t="shared" si="300"/>
        <v>0</v>
      </c>
      <c r="I91">
        <f t="shared" si="301"/>
        <v>0</v>
      </c>
      <c r="J91">
        <f t="shared" si="302"/>
        <v>0</v>
      </c>
      <c r="K91">
        <f t="shared" si="303"/>
        <v>0</v>
      </c>
      <c r="L91">
        <f t="shared" si="304"/>
        <v>0</v>
      </c>
      <c r="M91">
        <f t="shared" si="305"/>
        <v>0</v>
      </c>
      <c r="N91">
        <f t="shared" si="306"/>
        <v>0</v>
      </c>
      <c r="O91">
        <f t="shared" si="307"/>
        <v>0</v>
      </c>
      <c r="P91">
        <f t="shared" si="308"/>
        <v>0</v>
      </c>
      <c r="Q91">
        <f t="shared" si="309"/>
        <v>0</v>
      </c>
      <c r="R91">
        <f t="shared" si="310"/>
        <v>0</v>
      </c>
      <c r="S91">
        <f t="shared" si="311"/>
        <v>0</v>
      </c>
      <c r="T91">
        <f t="shared" si="312"/>
        <v>0</v>
      </c>
      <c r="U91">
        <f t="shared" si="313"/>
        <v>0</v>
      </c>
      <c r="V91">
        <f t="shared" si="314"/>
        <v>0</v>
      </c>
      <c r="W91">
        <f t="shared" si="315"/>
        <v>0</v>
      </c>
      <c r="X91">
        <f t="shared" si="316"/>
        <v>0</v>
      </c>
      <c r="Y91">
        <f t="shared" si="317"/>
        <v>0</v>
      </c>
      <c r="Z91">
        <f t="shared" si="318"/>
        <v>0</v>
      </c>
      <c r="AA91">
        <f t="shared" si="319"/>
        <v>0</v>
      </c>
      <c r="AB91">
        <f t="shared" si="320"/>
        <v>0</v>
      </c>
      <c r="AC91">
        <f t="shared" si="321"/>
        <v>0</v>
      </c>
      <c r="AD91">
        <f t="shared" si="322"/>
        <v>0</v>
      </c>
      <c r="AE91" s="57">
        <f t="shared" si="322"/>
        <v>0</v>
      </c>
      <c r="AF91" s="16"/>
      <c r="AG91" s="16"/>
      <c r="AH91" s="16"/>
      <c r="AI91" s="16"/>
      <c r="AJ91" s="16"/>
      <c r="AK91" s="16"/>
      <c r="AL91" s="28"/>
      <c r="AM91" s="28"/>
      <c r="AN91" s="28"/>
      <c r="AO91" s="28"/>
      <c r="AP91" s="28"/>
      <c r="AQ91" s="28"/>
      <c r="AR91" s="28"/>
      <c r="AS91" s="28"/>
      <c r="AT91" s="35"/>
      <c r="AU91" s="58">
        <f t="shared" si="221"/>
        <v>36</v>
      </c>
      <c r="AV91" s="46"/>
      <c r="AW91" s="50">
        <f t="shared" si="323"/>
        <v>-1201970000</v>
      </c>
      <c r="AX91">
        <f t="shared" si="222"/>
        <v>-491535518.32627541</v>
      </c>
      <c r="AY91">
        <f t="shared" si="223"/>
        <v>-201009314.52222621</v>
      </c>
      <c r="AZ91">
        <f t="shared" si="224"/>
        <v>-82201067.91524896</v>
      </c>
      <c r="BA91">
        <f t="shared" si="225"/>
        <v>-33615435.097960241</v>
      </c>
      <c r="BB91">
        <f t="shared" si="226"/>
        <v>-13746749.348685214</v>
      </c>
      <c r="BC91">
        <f t="shared" si="227"/>
        <v>-5621617.4833044084</v>
      </c>
      <c r="BD91">
        <f t="shared" si="228"/>
        <v>-2298913.1704519605</v>
      </c>
      <c r="BE91">
        <f t="shared" si="229"/>
        <v>-940121.19838710595</v>
      </c>
      <c r="BF91">
        <f t="shared" si="230"/>
        <v>-384454.65405881801</v>
      </c>
      <c r="BG91">
        <f t="shared" si="231"/>
        <v>-157219.49604117507</v>
      </c>
      <c r="BH91">
        <f t="shared" si="232"/>
        <v>-64293.5900893539</v>
      </c>
      <c r="BI91">
        <f t="shared" si="233"/>
        <v>-26292.322715855888</v>
      </c>
      <c r="BJ91">
        <f t="shared" si="234"/>
        <v>-10752.024165938054</v>
      </c>
      <c r="BK91">
        <f t="shared" si="235"/>
        <v>-4396.9498425536722</v>
      </c>
      <c r="BL91">
        <f t="shared" si="236"/>
        <v>-1798.0957055617841</v>
      </c>
      <c r="BM91">
        <f t="shared" si="237"/>
        <v>-735.31626310727847</v>
      </c>
      <c r="BN91">
        <f t="shared" si="238"/>
        <v>-300.70177357889651</v>
      </c>
      <c r="BO91">
        <f t="shared" si="239"/>
        <v>-122.97037629545133</v>
      </c>
      <c r="BP91">
        <f t="shared" si="240"/>
        <v>-50.289940771667659</v>
      </c>
      <c r="BQ91">
        <f t="shared" si="241"/>
        <v>-20.571125794665335</v>
      </c>
      <c r="BR91">
        <f t="shared" si="242"/>
        <v>-8.4257835052350831</v>
      </c>
      <c r="BS91">
        <f t="shared" si="243"/>
        <v>-3.4784078112471994</v>
      </c>
      <c r="BT91">
        <f t="shared" si="244"/>
        <v>-1.5025614967083543</v>
      </c>
      <c r="BU91">
        <f t="shared" si="245"/>
        <v>-0.81032132445702887</v>
      </c>
      <c r="BV91" s="50">
        <f t="shared" si="246"/>
        <v>-0.81032132445702876</v>
      </c>
      <c r="BW91" s="16"/>
      <c r="BX91" s="16"/>
      <c r="BY91" s="16"/>
      <c r="BZ91" s="16"/>
      <c r="CA91" s="16"/>
      <c r="CB91" s="16"/>
      <c r="CC91" s="28"/>
      <c r="CD91" s="28"/>
      <c r="CE91" s="28"/>
      <c r="CF91" s="28"/>
      <c r="CG91" s="28"/>
      <c r="CH91" s="28"/>
      <c r="CI91" s="28"/>
      <c r="CJ91" s="28"/>
      <c r="CK91" s="35"/>
      <c r="CM91" s="44"/>
      <c r="CN91" s="50">
        <f t="shared" si="247"/>
        <v>0.40894160041577399</v>
      </c>
      <c r="CO91">
        <f t="shared" si="248"/>
        <v>0.40894160041577399</v>
      </c>
      <c r="CP91">
        <f t="shared" si="249"/>
        <v>0.40894160041577399</v>
      </c>
      <c r="CQ91">
        <f t="shared" si="250"/>
        <v>0.40894160041577399</v>
      </c>
      <c r="CR91">
        <f t="shared" si="251"/>
        <v>0.40894160041577399</v>
      </c>
      <c r="CS91">
        <f t="shared" si="252"/>
        <v>0.40894160041577399</v>
      </c>
      <c r="CT91">
        <f t="shared" si="253"/>
        <v>0.40894160041577399</v>
      </c>
      <c r="CU91">
        <f t="shared" si="254"/>
        <v>0.40894160041577399</v>
      </c>
      <c r="CV91">
        <f t="shared" si="255"/>
        <v>0.40894160041577399</v>
      </c>
      <c r="CW91">
        <f t="shared" si="256"/>
        <v>0.40894160041577399</v>
      </c>
      <c r="CX91">
        <f t="shared" si="257"/>
        <v>0.40894160041577399</v>
      </c>
      <c r="CY91">
        <f t="shared" si="258"/>
        <v>0.40894160041577399</v>
      </c>
      <c r="CZ91">
        <f t="shared" si="259"/>
        <v>0.40894160041577399</v>
      </c>
      <c r="DA91">
        <f t="shared" si="260"/>
        <v>0.40894160041577399</v>
      </c>
      <c r="DB91">
        <f t="shared" si="261"/>
        <v>0.40894160041577399</v>
      </c>
      <c r="DC91">
        <f t="shared" si="262"/>
        <v>0.40894160041577399</v>
      </c>
      <c r="DD91">
        <f t="shared" si="263"/>
        <v>0.40894158616793713</v>
      </c>
      <c r="DE91">
        <f t="shared" si="264"/>
        <v>0.40894158616793713</v>
      </c>
      <c r="DF91">
        <f t="shared" si="265"/>
        <v>0.40894158616793713</v>
      </c>
      <c r="DG91">
        <f t="shared" si="266"/>
        <v>0.40894158616793713</v>
      </c>
      <c r="DH91">
        <f t="shared" si="267"/>
        <v>0.40894158616793713</v>
      </c>
      <c r="DI91">
        <f t="shared" si="268"/>
        <v>0.40894158616793713</v>
      </c>
      <c r="DJ91">
        <f t="shared" si="269"/>
        <v>0.40894158616793713</v>
      </c>
      <c r="DK91">
        <f t="shared" si="270"/>
        <v>0.40894158616793713</v>
      </c>
      <c r="DL91">
        <f t="shared" si="271"/>
        <v>0.40894158616793713</v>
      </c>
      <c r="DM91" s="50">
        <f t="shared" si="272"/>
        <v>0.40894158616793713</v>
      </c>
      <c r="DN91" s="16"/>
      <c r="DO91" s="16"/>
      <c r="DP91" s="16"/>
      <c r="DQ91" s="16"/>
      <c r="DR91" s="16"/>
      <c r="DS91" s="16"/>
      <c r="DT91" s="28"/>
      <c r="DU91" s="28"/>
      <c r="DV91" s="28"/>
      <c r="DW91" s="28"/>
      <c r="DX91" s="28"/>
      <c r="DY91" s="28"/>
      <c r="DZ91" s="28"/>
      <c r="EA91" s="28"/>
      <c r="EB91" s="35"/>
      <c r="EC91" s="58">
        <f t="shared" si="273"/>
        <v>36</v>
      </c>
      <c r="ED91" s="44"/>
      <c r="EE91" s="52">
        <f t="shared" si="274"/>
        <v>206.87043985447912</v>
      </c>
      <c r="EF91" s="18">
        <f t="shared" si="274"/>
        <v>0</v>
      </c>
      <c r="EG91" s="18">
        <f t="shared" si="275"/>
        <v>0</v>
      </c>
      <c r="EH91" s="18">
        <f t="shared" si="276"/>
        <v>0</v>
      </c>
      <c r="EI91" s="18">
        <f t="shared" si="277"/>
        <v>0</v>
      </c>
      <c r="EJ91" s="18">
        <f t="shared" si="278"/>
        <v>0</v>
      </c>
      <c r="EK91" s="18">
        <f t="shared" si="279"/>
        <v>0</v>
      </c>
      <c r="EL91" s="18">
        <f t="shared" si="280"/>
        <v>0</v>
      </c>
      <c r="EM91" s="18">
        <f t="shared" si="281"/>
        <v>0</v>
      </c>
      <c r="EN91" s="18">
        <f t="shared" si="282"/>
        <v>0</v>
      </c>
      <c r="EO91" s="18">
        <f t="shared" si="283"/>
        <v>0</v>
      </c>
      <c r="EP91" s="18">
        <f t="shared" si="284"/>
        <v>0</v>
      </c>
      <c r="EQ91" s="18">
        <f t="shared" si="285"/>
        <v>0</v>
      </c>
      <c r="ER91" s="18">
        <f t="shared" si="286"/>
        <v>0</v>
      </c>
      <c r="ES91" s="18">
        <f t="shared" si="287"/>
        <v>0</v>
      </c>
      <c r="ET91" s="18">
        <f t="shared" si="288"/>
        <v>0</v>
      </c>
      <c r="EU91" s="18">
        <f t="shared" si="289"/>
        <v>0</v>
      </c>
      <c r="EV91" s="18">
        <f t="shared" si="290"/>
        <v>0</v>
      </c>
      <c r="EW91" s="18">
        <f t="shared" si="291"/>
        <v>0</v>
      </c>
      <c r="EX91" s="18">
        <f t="shared" si="292"/>
        <v>0</v>
      </c>
      <c r="EY91" s="18">
        <f t="shared" si="293"/>
        <v>0</v>
      </c>
      <c r="EZ91" s="18">
        <f t="shared" si="294"/>
        <v>0</v>
      </c>
      <c r="FA91" s="18">
        <f t="shared" si="295"/>
        <v>0</v>
      </c>
      <c r="FB91" s="18">
        <f t="shared" si="296"/>
        <v>0</v>
      </c>
      <c r="FC91" s="18">
        <f t="shared" si="297"/>
        <v>0</v>
      </c>
      <c r="FD91" s="52">
        <f t="shared" si="298"/>
        <v>0</v>
      </c>
      <c r="FE91" s="16"/>
      <c r="FF91" s="16"/>
      <c r="FG91" s="16"/>
      <c r="FH91" s="16"/>
      <c r="FI91" s="16"/>
      <c r="FJ91" s="16"/>
      <c r="FK91" s="28"/>
      <c r="FL91" s="28"/>
      <c r="FM91" s="28"/>
      <c r="FN91" s="28"/>
      <c r="FO91" s="28"/>
      <c r="FP91" s="28"/>
      <c r="FQ91" s="28"/>
      <c r="FR91" s="28"/>
      <c r="FS91" s="35"/>
    </row>
    <row r="92" spans="5:175">
      <c r="E92" s="48"/>
      <c r="F92" s="57">
        <f t="shared" si="324"/>
        <v>350</v>
      </c>
      <c r="G92">
        <f t="shared" si="299"/>
        <v>0</v>
      </c>
      <c r="H92">
        <f t="shared" si="300"/>
        <v>0</v>
      </c>
      <c r="I92">
        <f t="shared" si="301"/>
        <v>0</v>
      </c>
      <c r="J92">
        <f t="shared" si="302"/>
        <v>0</v>
      </c>
      <c r="K92">
        <f t="shared" si="303"/>
        <v>0</v>
      </c>
      <c r="L92">
        <f t="shared" si="304"/>
        <v>0</v>
      </c>
      <c r="M92">
        <f t="shared" si="305"/>
        <v>0</v>
      </c>
      <c r="N92">
        <f t="shared" si="306"/>
        <v>0</v>
      </c>
      <c r="O92">
        <f t="shared" si="307"/>
        <v>0</v>
      </c>
      <c r="P92">
        <f t="shared" si="308"/>
        <v>0</v>
      </c>
      <c r="Q92">
        <f t="shared" si="309"/>
        <v>0</v>
      </c>
      <c r="R92">
        <f t="shared" si="310"/>
        <v>0</v>
      </c>
      <c r="S92">
        <f t="shared" si="311"/>
        <v>0</v>
      </c>
      <c r="T92">
        <f t="shared" si="312"/>
        <v>0</v>
      </c>
      <c r="U92">
        <f t="shared" si="313"/>
        <v>0</v>
      </c>
      <c r="V92">
        <f t="shared" si="314"/>
        <v>0</v>
      </c>
      <c r="W92">
        <f t="shared" si="315"/>
        <v>0</v>
      </c>
      <c r="X92">
        <f t="shared" si="316"/>
        <v>0</v>
      </c>
      <c r="Y92">
        <f t="shared" si="317"/>
        <v>0</v>
      </c>
      <c r="Z92">
        <f t="shared" si="318"/>
        <v>0</v>
      </c>
      <c r="AA92">
        <f t="shared" si="319"/>
        <v>0</v>
      </c>
      <c r="AB92">
        <f t="shared" si="320"/>
        <v>0</v>
      </c>
      <c r="AC92">
        <f t="shared" si="321"/>
        <v>0</v>
      </c>
      <c r="AD92">
        <f t="shared" si="322"/>
        <v>0</v>
      </c>
      <c r="AE92" s="57">
        <f t="shared" si="322"/>
        <v>0</v>
      </c>
      <c r="AF92" s="16"/>
      <c r="AG92" s="16"/>
      <c r="AH92" s="16"/>
      <c r="AI92" s="16"/>
      <c r="AJ92" s="16"/>
      <c r="AK92" s="28"/>
      <c r="AL92" s="28"/>
      <c r="AM92" s="28"/>
      <c r="AN92" s="28"/>
      <c r="AO92" s="28"/>
      <c r="AP92" s="28"/>
      <c r="AQ92" s="28"/>
      <c r="AR92" s="28"/>
      <c r="AS92" s="28"/>
      <c r="AT92" s="35"/>
      <c r="AU92" s="58">
        <f t="shared" si="221"/>
        <v>35</v>
      </c>
      <c r="AV92" s="46"/>
      <c r="AW92" s="50">
        <f t="shared" si="323"/>
        <v>-1201970000</v>
      </c>
      <c r="AX92">
        <f t="shared" si="222"/>
        <v>-491535518.32627541</v>
      </c>
      <c r="AY92">
        <f t="shared" si="223"/>
        <v>-201009314.52222621</v>
      </c>
      <c r="AZ92">
        <f t="shared" si="224"/>
        <v>-82201067.91524896</v>
      </c>
      <c r="BA92">
        <f t="shared" si="225"/>
        <v>-33615435.097960241</v>
      </c>
      <c r="BB92">
        <f t="shared" si="226"/>
        <v>-13746749.348685214</v>
      </c>
      <c r="BC92">
        <f t="shared" si="227"/>
        <v>-5621617.4833044084</v>
      </c>
      <c r="BD92">
        <f t="shared" si="228"/>
        <v>-2298913.1704519605</v>
      </c>
      <c r="BE92">
        <f t="shared" si="229"/>
        <v>-940121.19838710595</v>
      </c>
      <c r="BF92">
        <f t="shared" si="230"/>
        <v>-384454.65405881801</v>
      </c>
      <c r="BG92">
        <f t="shared" si="231"/>
        <v>-157219.49604117507</v>
      </c>
      <c r="BH92">
        <f t="shared" si="232"/>
        <v>-64293.5900893539</v>
      </c>
      <c r="BI92">
        <f t="shared" si="233"/>
        <v>-26292.322715855888</v>
      </c>
      <c r="BJ92">
        <f t="shared" si="234"/>
        <v>-10752.024165938054</v>
      </c>
      <c r="BK92">
        <f t="shared" si="235"/>
        <v>-4396.9498425536722</v>
      </c>
      <c r="BL92">
        <f t="shared" si="236"/>
        <v>-1798.0957055617841</v>
      </c>
      <c r="BM92">
        <f t="shared" si="237"/>
        <v>-735.31626310727847</v>
      </c>
      <c r="BN92">
        <f t="shared" si="238"/>
        <v>-300.70177357889651</v>
      </c>
      <c r="BO92">
        <f t="shared" si="239"/>
        <v>-122.97037629545133</v>
      </c>
      <c r="BP92">
        <f t="shared" si="240"/>
        <v>-50.289940771667659</v>
      </c>
      <c r="BQ92">
        <f t="shared" si="241"/>
        <v>-20.571125794665335</v>
      </c>
      <c r="BR92">
        <f t="shared" si="242"/>
        <v>-8.4257835052350831</v>
      </c>
      <c r="BS92">
        <f t="shared" si="243"/>
        <v>-3.4784078112471994</v>
      </c>
      <c r="BT92">
        <f t="shared" si="244"/>
        <v>-1.5025614967083543</v>
      </c>
      <c r="BU92">
        <f t="shared" si="245"/>
        <v>-0.81032132445702887</v>
      </c>
      <c r="BV92" s="50">
        <f t="shared" si="246"/>
        <v>-0.81032132445702876</v>
      </c>
      <c r="BW92" s="16"/>
      <c r="BX92" s="16"/>
      <c r="BY92" s="16"/>
      <c r="BZ92" s="16"/>
      <c r="CA92" s="16"/>
      <c r="CB92" s="28"/>
      <c r="CC92" s="28"/>
      <c r="CD92" s="28"/>
      <c r="CE92" s="28"/>
      <c r="CF92" s="28"/>
      <c r="CG92" s="28"/>
      <c r="CH92" s="28"/>
      <c r="CI92" s="28"/>
      <c r="CJ92" s="28"/>
      <c r="CK92" s="35"/>
      <c r="CM92" s="44"/>
      <c r="CN92" s="50">
        <f t="shared" si="247"/>
        <v>0.40894167136534132</v>
      </c>
      <c r="CO92">
        <f t="shared" si="248"/>
        <v>0.40894167136534132</v>
      </c>
      <c r="CP92">
        <f t="shared" si="249"/>
        <v>0.40894167136534132</v>
      </c>
      <c r="CQ92">
        <f t="shared" si="250"/>
        <v>0.40894167136534132</v>
      </c>
      <c r="CR92">
        <f t="shared" si="251"/>
        <v>0.40894167136534132</v>
      </c>
      <c r="CS92">
        <f t="shared" si="252"/>
        <v>0.40894167136534132</v>
      </c>
      <c r="CT92">
        <f t="shared" si="253"/>
        <v>0.40894167136534132</v>
      </c>
      <c r="CU92">
        <f t="shared" si="254"/>
        <v>0.40894167136534132</v>
      </c>
      <c r="CV92">
        <f t="shared" si="255"/>
        <v>0.40894167136534132</v>
      </c>
      <c r="CW92">
        <f t="shared" si="256"/>
        <v>0.40894167136534132</v>
      </c>
      <c r="CX92">
        <f t="shared" si="257"/>
        <v>0.40894167136534132</v>
      </c>
      <c r="CY92">
        <f t="shared" si="258"/>
        <v>0.40894167136534132</v>
      </c>
      <c r="CZ92">
        <f t="shared" si="259"/>
        <v>0.40894167136534132</v>
      </c>
      <c r="DA92">
        <f t="shared" si="260"/>
        <v>0.40894167136534132</v>
      </c>
      <c r="DB92">
        <f t="shared" si="261"/>
        <v>0.40894167136534132</v>
      </c>
      <c r="DC92">
        <f t="shared" si="262"/>
        <v>0.40894167136534132</v>
      </c>
      <c r="DD92">
        <f t="shared" si="263"/>
        <v>0.40894158616793713</v>
      </c>
      <c r="DE92">
        <f t="shared" si="264"/>
        <v>0.40894158616793713</v>
      </c>
      <c r="DF92">
        <f t="shared" si="265"/>
        <v>0.40894158616793713</v>
      </c>
      <c r="DG92">
        <f t="shared" si="266"/>
        <v>0.40894158616793713</v>
      </c>
      <c r="DH92">
        <f t="shared" si="267"/>
        <v>0.40894158616793713</v>
      </c>
      <c r="DI92">
        <f t="shared" si="268"/>
        <v>0.40894158616793713</v>
      </c>
      <c r="DJ92">
        <f t="shared" si="269"/>
        <v>0.40894158616793713</v>
      </c>
      <c r="DK92">
        <f t="shared" si="270"/>
        <v>0.40894158616793713</v>
      </c>
      <c r="DL92">
        <f t="shared" si="271"/>
        <v>0.40894158616793713</v>
      </c>
      <c r="DM92" s="50">
        <f t="shared" si="272"/>
        <v>0.40894158616793713</v>
      </c>
      <c r="DN92" s="16"/>
      <c r="DO92" s="16"/>
      <c r="DP92" s="16"/>
      <c r="DQ92" s="16"/>
      <c r="DR92" s="16"/>
      <c r="DS92" s="28"/>
      <c r="DT92" s="28"/>
      <c r="DU92" s="28"/>
      <c r="DV92" s="28"/>
      <c r="DW92" s="28"/>
      <c r="DX92" s="28"/>
      <c r="DY92" s="28"/>
      <c r="DZ92" s="28"/>
      <c r="EA92" s="28"/>
      <c r="EB92" s="35"/>
      <c r="EC92" s="58">
        <f t="shared" si="273"/>
        <v>35</v>
      </c>
      <c r="ED92" s="44"/>
      <c r="EE92" s="52">
        <f t="shared" si="274"/>
        <v>206.87041502213054</v>
      </c>
      <c r="EF92" s="18">
        <f t="shared" si="274"/>
        <v>0</v>
      </c>
      <c r="EG92" s="18">
        <f t="shared" si="275"/>
        <v>0</v>
      </c>
      <c r="EH92" s="18">
        <f t="shared" si="276"/>
        <v>0</v>
      </c>
      <c r="EI92" s="18">
        <f t="shared" si="277"/>
        <v>0</v>
      </c>
      <c r="EJ92" s="18">
        <f t="shared" si="278"/>
        <v>0</v>
      </c>
      <c r="EK92" s="18">
        <f t="shared" si="279"/>
        <v>0</v>
      </c>
      <c r="EL92" s="18">
        <f t="shared" si="280"/>
        <v>0</v>
      </c>
      <c r="EM92" s="18">
        <f t="shared" si="281"/>
        <v>0</v>
      </c>
      <c r="EN92" s="18">
        <f t="shared" si="282"/>
        <v>0</v>
      </c>
      <c r="EO92" s="18">
        <f t="shared" si="283"/>
        <v>0</v>
      </c>
      <c r="EP92" s="18">
        <f t="shared" si="284"/>
        <v>0</v>
      </c>
      <c r="EQ92" s="18">
        <f t="shared" si="285"/>
        <v>0</v>
      </c>
      <c r="ER92" s="18">
        <f t="shared" si="286"/>
        <v>0</v>
      </c>
      <c r="ES92" s="18">
        <f t="shared" si="287"/>
        <v>0</v>
      </c>
      <c r="ET92" s="18">
        <f t="shared" si="288"/>
        <v>0</v>
      </c>
      <c r="EU92" s="18">
        <f t="shared" si="289"/>
        <v>0</v>
      </c>
      <c r="EV92" s="18">
        <f t="shared" si="290"/>
        <v>0</v>
      </c>
      <c r="EW92" s="18">
        <f t="shared" si="291"/>
        <v>0</v>
      </c>
      <c r="EX92" s="18">
        <f t="shared" si="292"/>
        <v>0</v>
      </c>
      <c r="EY92" s="18">
        <f t="shared" si="293"/>
        <v>0</v>
      </c>
      <c r="EZ92" s="18">
        <f t="shared" si="294"/>
        <v>0</v>
      </c>
      <c r="FA92" s="18">
        <f t="shared" si="295"/>
        <v>0</v>
      </c>
      <c r="FB92" s="18">
        <f t="shared" si="296"/>
        <v>0</v>
      </c>
      <c r="FC92" s="18">
        <f t="shared" si="297"/>
        <v>0</v>
      </c>
      <c r="FD92" s="52">
        <f t="shared" si="298"/>
        <v>0</v>
      </c>
      <c r="FE92" s="16"/>
      <c r="FF92" s="16"/>
      <c r="FG92" s="16"/>
      <c r="FH92" s="16"/>
      <c r="FI92" s="16"/>
      <c r="FJ92" s="28"/>
      <c r="FK92" s="28"/>
      <c r="FL92" s="28"/>
      <c r="FM92" s="28"/>
      <c r="FN92" s="28"/>
      <c r="FO92" s="28"/>
      <c r="FP92" s="28"/>
      <c r="FQ92" s="28"/>
      <c r="FR92" s="28"/>
      <c r="FS92" s="35"/>
    </row>
    <row r="93" spans="5:175">
      <c r="E93" s="48"/>
      <c r="F93" s="57">
        <f t="shared" si="324"/>
        <v>350</v>
      </c>
      <c r="G93">
        <f t="shared" si="299"/>
        <v>0</v>
      </c>
      <c r="H93">
        <f t="shared" si="300"/>
        <v>0</v>
      </c>
      <c r="I93">
        <f t="shared" si="301"/>
        <v>0</v>
      </c>
      <c r="J93">
        <f t="shared" si="302"/>
        <v>0</v>
      </c>
      <c r="K93">
        <f t="shared" si="303"/>
        <v>0</v>
      </c>
      <c r="L93">
        <f t="shared" si="304"/>
        <v>0</v>
      </c>
      <c r="M93">
        <f t="shared" si="305"/>
        <v>0</v>
      </c>
      <c r="N93">
        <f t="shared" si="306"/>
        <v>0</v>
      </c>
      <c r="O93">
        <f t="shared" si="307"/>
        <v>0</v>
      </c>
      <c r="P93">
        <f t="shared" si="308"/>
        <v>0</v>
      </c>
      <c r="Q93">
        <f t="shared" si="309"/>
        <v>0</v>
      </c>
      <c r="R93">
        <f t="shared" si="310"/>
        <v>0</v>
      </c>
      <c r="S93">
        <f t="shared" si="311"/>
        <v>0</v>
      </c>
      <c r="T93">
        <f t="shared" si="312"/>
        <v>0</v>
      </c>
      <c r="U93">
        <f t="shared" si="313"/>
        <v>0</v>
      </c>
      <c r="V93">
        <f t="shared" si="314"/>
        <v>0</v>
      </c>
      <c r="W93">
        <f t="shared" si="315"/>
        <v>0</v>
      </c>
      <c r="X93">
        <f t="shared" si="316"/>
        <v>0</v>
      </c>
      <c r="Y93">
        <f t="shared" si="317"/>
        <v>0</v>
      </c>
      <c r="Z93">
        <f t="shared" si="318"/>
        <v>0</v>
      </c>
      <c r="AA93">
        <f t="shared" si="319"/>
        <v>0</v>
      </c>
      <c r="AB93">
        <f t="shared" si="320"/>
        <v>0</v>
      </c>
      <c r="AC93">
        <f t="shared" si="321"/>
        <v>0</v>
      </c>
      <c r="AD93">
        <f t="shared" si="322"/>
        <v>0</v>
      </c>
      <c r="AE93" s="57">
        <f t="shared" si="322"/>
        <v>0</v>
      </c>
      <c r="AF93" s="16"/>
      <c r="AG93" s="16"/>
      <c r="AH93" s="16"/>
      <c r="AI93" s="16"/>
      <c r="AJ93" s="16"/>
      <c r="AK93" s="28"/>
      <c r="AL93" s="28"/>
      <c r="AM93" s="28"/>
      <c r="AN93" s="28"/>
      <c r="AO93" s="28"/>
      <c r="AP93" s="28"/>
      <c r="AQ93" s="28"/>
      <c r="AR93" s="28"/>
      <c r="AS93" s="28"/>
      <c r="AT93" s="35"/>
      <c r="AU93" s="58">
        <f t="shared" si="221"/>
        <v>34</v>
      </c>
      <c r="AV93" s="46"/>
      <c r="AW93" s="50">
        <f t="shared" si="323"/>
        <v>-1201970000</v>
      </c>
      <c r="AX93">
        <f t="shared" si="222"/>
        <v>-491535518.32627541</v>
      </c>
      <c r="AY93">
        <f t="shared" si="223"/>
        <v>-201009314.52222621</v>
      </c>
      <c r="AZ93">
        <f t="shared" si="224"/>
        <v>-82201067.91524896</v>
      </c>
      <c r="BA93">
        <f t="shared" si="225"/>
        <v>-33615435.097960241</v>
      </c>
      <c r="BB93">
        <f t="shared" si="226"/>
        <v>-13746749.348685214</v>
      </c>
      <c r="BC93">
        <f t="shared" si="227"/>
        <v>-5621617.4833044084</v>
      </c>
      <c r="BD93">
        <f t="shared" si="228"/>
        <v>-2298913.1704519605</v>
      </c>
      <c r="BE93">
        <f t="shared" si="229"/>
        <v>-940121.19838710595</v>
      </c>
      <c r="BF93">
        <f t="shared" si="230"/>
        <v>-384454.65405881801</v>
      </c>
      <c r="BG93">
        <f t="shared" si="231"/>
        <v>-157219.49604117507</v>
      </c>
      <c r="BH93">
        <f t="shared" si="232"/>
        <v>-64293.5900893539</v>
      </c>
      <c r="BI93">
        <f t="shared" si="233"/>
        <v>-26292.322715855888</v>
      </c>
      <c r="BJ93">
        <f t="shared" si="234"/>
        <v>-10752.024165938054</v>
      </c>
      <c r="BK93">
        <f t="shared" si="235"/>
        <v>-4396.9498425536722</v>
      </c>
      <c r="BL93">
        <f t="shared" si="236"/>
        <v>-1798.0957055617841</v>
      </c>
      <c r="BM93">
        <f t="shared" si="237"/>
        <v>-735.31626310727847</v>
      </c>
      <c r="BN93">
        <f t="shared" si="238"/>
        <v>-300.70177357889651</v>
      </c>
      <c r="BO93">
        <f t="shared" si="239"/>
        <v>-122.97037629545133</v>
      </c>
      <c r="BP93">
        <f t="shared" si="240"/>
        <v>-50.289940771667659</v>
      </c>
      <c r="BQ93">
        <f t="shared" si="241"/>
        <v>-20.571125794665335</v>
      </c>
      <c r="BR93">
        <f t="shared" si="242"/>
        <v>-8.4257835052350831</v>
      </c>
      <c r="BS93">
        <f t="shared" si="243"/>
        <v>-3.4784078112471994</v>
      </c>
      <c r="BT93">
        <f t="shared" si="244"/>
        <v>-1.5025614967083543</v>
      </c>
      <c r="BU93">
        <f t="shared" si="245"/>
        <v>-0.81032132445702887</v>
      </c>
      <c r="BV93" s="50">
        <f t="shared" si="246"/>
        <v>-0.81032132445702876</v>
      </c>
      <c r="BW93" s="16"/>
      <c r="BX93" s="16"/>
      <c r="BY93" s="16"/>
      <c r="BZ93" s="16"/>
      <c r="CA93" s="16"/>
      <c r="CB93" s="28"/>
      <c r="CC93" s="28"/>
      <c r="CD93" s="28"/>
      <c r="CE93" s="28"/>
      <c r="CF93" s="28"/>
      <c r="CG93" s="28"/>
      <c r="CH93" s="28"/>
      <c r="CI93" s="28"/>
      <c r="CJ93" s="28"/>
      <c r="CK93" s="35"/>
      <c r="CM93" s="44"/>
      <c r="CN93" s="50">
        <f t="shared" si="247"/>
        <v>0.40894209562046063</v>
      </c>
      <c r="CO93">
        <f t="shared" si="248"/>
        <v>0.40894209562046063</v>
      </c>
      <c r="CP93">
        <f t="shared" si="249"/>
        <v>0.40894209562046063</v>
      </c>
      <c r="CQ93">
        <f t="shared" si="250"/>
        <v>0.40894209562046063</v>
      </c>
      <c r="CR93">
        <f t="shared" si="251"/>
        <v>0.40894209562046063</v>
      </c>
      <c r="CS93">
        <f t="shared" si="252"/>
        <v>0.40894209562046063</v>
      </c>
      <c r="CT93">
        <f t="shared" si="253"/>
        <v>0.40894209562046063</v>
      </c>
      <c r="CU93">
        <f t="shared" si="254"/>
        <v>0.40894209562046063</v>
      </c>
      <c r="CV93">
        <f t="shared" si="255"/>
        <v>0.40894209562046063</v>
      </c>
      <c r="CW93">
        <f t="shared" si="256"/>
        <v>0.40894209562046063</v>
      </c>
      <c r="CX93">
        <f t="shared" si="257"/>
        <v>0.40894209562046063</v>
      </c>
      <c r="CY93">
        <f t="shared" si="258"/>
        <v>0.40894209562046063</v>
      </c>
      <c r="CZ93">
        <f t="shared" si="259"/>
        <v>0.40894209562046063</v>
      </c>
      <c r="DA93">
        <f t="shared" si="260"/>
        <v>0.40894209562046063</v>
      </c>
      <c r="DB93">
        <f t="shared" si="261"/>
        <v>0.40894209562046063</v>
      </c>
      <c r="DC93">
        <f t="shared" si="262"/>
        <v>0.40894209562046063</v>
      </c>
      <c r="DD93">
        <f t="shared" si="263"/>
        <v>0.40894158616793713</v>
      </c>
      <c r="DE93">
        <f t="shared" si="264"/>
        <v>0.40894158616793713</v>
      </c>
      <c r="DF93">
        <f t="shared" si="265"/>
        <v>0.40894158616793713</v>
      </c>
      <c r="DG93">
        <f t="shared" si="266"/>
        <v>0.40894158616793713</v>
      </c>
      <c r="DH93">
        <f t="shared" si="267"/>
        <v>0.40894158616793713</v>
      </c>
      <c r="DI93">
        <f t="shared" si="268"/>
        <v>0.40894158616793713</v>
      </c>
      <c r="DJ93">
        <f t="shared" si="269"/>
        <v>0.40894158616793713</v>
      </c>
      <c r="DK93">
        <f t="shared" si="270"/>
        <v>0.40894158616793713</v>
      </c>
      <c r="DL93">
        <f t="shared" si="271"/>
        <v>0.40894158616793713</v>
      </c>
      <c r="DM93" s="50">
        <f t="shared" si="272"/>
        <v>0.40894158616793713</v>
      </c>
      <c r="DN93" s="16"/>
      <c r="DO93" s="16"/>
      <c r="DP93" s="16"/>
      <c r="DQ93" s="16"/>
      <c r="DR93" s="16"/>
      <c r="DS93" s="28"/>
      <c r="DT93" s="28"/>
      <c r="DU93" s="28"/>
      <c r="DV93" s="28"/>
      <c r="DW93" s="28"/>
      <c r="DX93" s="28"/>
      <c r="DY93" s="28"/>
      <c r="DZ93" s="28"/>
      <c r="EA93" s="28"/>
      <c r="EB93" s="35"/>
      <c r="EC93" s="58">
        <f t="shared" si="273"/>
        <v>34</v>
      </c>
      <c r="ED93" s="44"/>
      <c r="EE93" s="52">
        <f t="shared" si="274"/>
        <v>206.87026653283874</v>
      </c>
      <c r="EF93" s="18">
        <f t="shared" si="274"/>
        <v>0</v>
      </c>
      <c r="EG93" s="18">
        <f t="shared" si="275"/>
        <v>0</v>
      </c>
      <c r="EH93" s="18">
        <f t="shared" si="276"/>
        <v>0</v>
      </c>
      <c r="EI93" s="18">
        <f t="shared" si="277"/>
        <v>0</v>
      </c>
      <c r="EJ93" s="18">
        <f t="shared" si="278"/>
        <v>0</v>
      </c>
      <c r="EK93" s="18">
        <f t="shared" si="279"/>
        <v>0</v>
      </c>
      <c r="EL93" s="18">
        <f t="shared" si="280"/>
        <v>0</v>
      </c>
      <c r="EM93" s="18">
        <f t="shared" si="281"/>
        <v>0</v>
      </c>
      <c r="EN93" s="18">
        <f t="shared" si="282"/>
        <v>0</v>
      </c>
      <c r="EO93" s="18">
        <f t="shared" si="283"/>
        <v>0</v>
      </c>
      <c r="EP93" s="18">
        <f t="shared" si="284"/>
        <v>0</v>
      </c>
      <c r="EQ93" s="18">
        <f t="shared" si="285"/>
        <v>0</v>
      </c>
      <c r="ER93" s="18">
        <f t="shared" si="286"/>
        <v>0</v>
      </c>
      <c r="ES93" s="18">
        <f t="shared" si="287"/>
        <v>0</v>
      </c>
      <c r="ET93" s="18">
        <f t="shared" si="288"/>
        <v>0</v>
      </c>
      <c r="EU93" s="18">
        <f t="shared" si="289"/>
        <v>0</v>
      </c>
      <c r="EV93" s="18">
        <f t="shared" si="290"/>
        <v>0</v>
      </c>
      <c r="EW93" s="18">
        <f t="shared" si="291"/>
        <v>0</v>
      </c>
      <c r="EX93" s="18">
        <f t="shared" si="292"/>
        <v>0</v>
      </c>
      <c r="EY93" s="18">
        <f t="shared" si="293"/>
        <v>0</v>
      </c>
      <c r="EZ93" s="18">
        <f t="shared" si="294"/>
        <v>0</v>
      </c>
      <c r="FA93" s="18">
        <f t="shared" si="295"/>
        <v>0</v>
      </c>
      <c r="FB93" s="18">
        <f t="shared" si="296"/>
        <v>0</v>
      </c>
      <c r="FC93" s="18">
        <f t="shared" si="297"/>
        <v>0</v>
      </c>
      <c r="FD93" s="52">
        <f t="shared" si="298"/>
        <v>0</v>
      </c>
      <c r="FE93" s="16"/>
      <c r="FF93" s="16"/>
      <c r="FG93" s="16"/>
      <c r="FH93" s="16"/>
      <c r="FI93" s="16"/>
      <c r="FJ93" s="28"/>
      <c r="FK93" s="28"/>
      <c r="FL93" s="28"/>
      <c r="FM93" s="28"/>
      <c r="FN93" s="28"/>
      <c r="FO93" s="28"/>
      <c r="FP93" s="28"/>
      <c r="FQ93" s="28"/>
      <c r="FR93" s="28"/>
      <c r="FS93" s="35"/>
    </row>
    <row r="94" spans="5:175">
      <c r="E94" s="48"/>
      <c r="F94" s="57">
        <f t="shared" si="324"/>
        <v>350</v>
      </c>
      <c r="G94">
        <f t="shared" si="299"/>
        <v>0</v>
      </c>
      <c r="H94">
        <f t="shared" si="300"/>
        <v>0</v>
      </c>
      <c r="I94">
        <f t="shared" si="301"/>
        <v>0</v>
      </c>
      <c r="J94">
        <f t="shared" si="302"/>
        <v>0</v>
      </c>
      <c r="K94">
        <f t="shared" si="303"/>
        <v>0</v>
      </c>
      <c r="L94">
        <f t="shared" si="304"/>
        <v>0</v>
      </c>
      <c r="M94">
        <f t="shared" si="305"/>
        <v>0</v>
      </c>
      <c r="N94">
        <f t="shared" si="306"/>
        <v>0</v>
      </c>
      <c r="O94">
        <f t="shared" si="307"/>
        <v>0</v>
      </c>
      <c r="P94">
        <f t="shared" si="308"/>
        <v>0</v>
      </c>
      <c r="Q94">
        <f t="shared" si="309"/>
        <v>0</v>
      </c>
      <c r="R94">
        <f t="shared" si="310"/>
        <v>0</v>
      </c>
      <c r="S94">
        <f t="shared" si="311"/>
        <v>0</v>
      </c>
      <c r="T94">
        <f t="shared" si="312"/>
        <v>0</v>
      </c>
      <c r="U94">
        <f t="shared" si="313"/>
        <v>0</v>
      </c>
      <c r="V94">
        <f t="shared" si="314"/>
        <v>0</v>
      </c>
      <c r="W94">
        <f t="shared" si="315"/>
        <v>0</v>
      </c>
      <c r="X94">
        <f t="shared" si="316"/>
        <v>0</v>
      </c>
      <c r="Y94">
        <f t="shared" si="317"/>
        <v>0</v>
      </c>
      <c r="Z94">
        <f t="shared" si="318"/>
        <v>0</v>
      </c>
      <c r="AA94">
        <f t="shared" si="319"/>
        <v>0</v>
      </c>
      <c r="AB94">
        <f t="shared" si="320"/>
        <v>0</v>
      </c>
      <c r="AC94">
        <f t="shared" si="321"/>
        <v>0</v>
      </c>
      <c r="AD94">
        <f t="shared" si="322"/>
        <v>0</v>
      </c>
      <c r="AE94" s="57">
        <f t="shared" si="322"/>
        <v>0</v>
      </c>
      <c r="AF94" s="16"/>
      <c r="AG94" s="16"/>
      <c r="AH94" s="16"/>
      <c r="AI94" s="16"/>
      <c r="AJ94" s="16"/>
      <c r="AK94" s="28"/>
      <c r="AL94" s="28"/>
      <c r="AM94" s="28"/>
      <c r="AN94" s="28"/>
      <c r="AO94" s="28"/>
      <c r="AP94" s="28"/>
      <c r="AQ94" s="28"/>
      <c r="AR94" s="28"/>
      <c r="AS94" s="28"/>
      <c r="AT94" s="35"/>
      <c r="AU94" s="58">
        <f t="shared" si="221"/>
        <v>33</v>
      </c>
      <c r="AV94" s="46"/>
      <c r="AW94" s="50">
        <f>-($C$16*$C$15/$C$13)*F52</f>
        <v>-1201970000</v>
      </c>
      <c r="AX94">
        <f t="shared" si="222"/>
        <v>-491535518.32627541</v>
      </c>
      <c r="AY94">
        <f t="shared" si="223"/>
        <v>-201009314.52222621</v>
      </c>
      <c r="AZ94">
        <f t="shared" si="224"/>
        <v>-82201067.91524896</v>
      </c>
      <c r="BA94">
        <f t="shared" si="225"/>
        <v>-33615435.097960241</v>
      </c>
      <c r="BB94">
        <f t="shared" si="226"/>
        <v>-13746749.348685214</v>
      </c>
      <c r="BC94">
        <f t="shared" si="227"/>
        <v>-5621617.4833044084</v>
      </c>
      <c r="BD94">
        <f t="shared" si="228"/>
        <v>-2298913.1704519605</v>
      </c>
      <c r="BE94">
        <f t="shared" si="229"/>
        <v>-940121.19838710595</v>
      </c>
      <c r="BF94">
        <f t="shared" si="230"/>
        <v>-384454.65405881801</v>
      </c>
      <c r="BG94">
        <f t="shared" si="231"/>
        <v>-157219.49604117507</v>
      </c>
      <c r="BH94">
        <f t="shared" si="232"/>
        <v>-64293.5900893539</v>
      </c>
      <c r="BI94">
        <f t="shared" si="233"/>
        <v>-26292.322715855888</v>
      </c>
      <c r="BJ94">
        <f t="shared" si="234"/>
        <v>-10752.024165938054</v>
      </c>
      <c r="BK94">
        <f t="shared" si="235"/>
        <v>-4396.9498425536722</v>
      </c>
      <c r="BL94">
        <f t="shared" si="236"/>
        <v>-1798.0957055617841</v>
      </c>
      <c r="BM94">
        <f t="shared" si="237"/>
        <v>-735.31626310727847</v>
      </c>
      <c r="BN94">
        <f t="shared" si="238"/>
        <v>-300.70177357889651</v>
      </c>
      <c r="BO94">
        <f t="shared" si="239"/>
        <v>-122.97037629545133</v>
      </c>
      <c r="BP94">
        <f t="shared" si="240"/>
        <v>-50.289940771667659</v>
      </c>
      <c r="BQ94">
        <f t="shared" si="241"/>
        <v>-20.571125794665335</v>
      </c>
      <c r="BR94">
        <f t="shared" si="242"/>
        <v>-8.4257835052350831</v>
      </c>
      <c r="BS94">
        <f t="shared" si="243"/>
        <v>-3.4784078112471994</v>
      </c>
      <c r="BT94">
        <f t="shared" si="244"/>
        <v>-1.5025614967083543</v>
      </c>
      <c r="BU94">
        <f t="shared" si="245"/>
        <v>-0.81032132445702887</v>
      </c>
      <c r="BV94" s="50">
        <f t="shared" si="246"/>
        <v>-0.81032132445702876</v>
      </c>
      <c r="BW94" s="16"/>
      <c r="BX94" s="16"/>
      <c r="BY94" s="16"/>
      <c r="BZ94" s="16"/>
      <c r="CA94" s="16"/>
      <c r="CB94" s="28"/>
      <c r="CC94" s="28"/>
      <c r="CD94" s="28"/>
      <c r="CE94" s="28"/>
      <c r="CF94" s="28"/>
      <c r="CG94" s="28"/>
      <c r="CH94" s="28"/>
      <c r="CI94" s="28"/>
      <c r="CJ94" s="28"/>
      <c r="CK94" s="35"/>
      <c r="CM94" s="44"/>
      <c r="CN94" s="50">
        <f t="shared" si="247"/>
        <v>0.4089446325237156</v>
      </c>
      <c r="CO94">
        <f t="shared" si="248"/>
        <v>0.4089446325237156</v>
      </c>
      <c r="CP94">
        <f t="shared" si="249"/>
        <v>0.4089446325237156</v>
      </c>
      <c r="CQ94">
        <f t="shared" si="250"/>
        <v>0.4089446325237156</v>
      </c>
      <c r="CR94">
        <f t="shared" si="251"/>
        <v>0.4089446325237156</v>
      </c>
      <c r="CS94">
        <f t="shared" si="252"/>
        <v>0.4089446325237156</v>
      </c>
      <c r="CT94">
        <f t="shared" si="253"/>
        <v>0.4089446325237156</v>
      </c>
      <c r="CU94">
        <f t="shared" si="254"/>
        <v>0.4089446325237156</v>
      </c>
      <c r="CV94">
        <f t="shared" si="255"/>
        <v>0.4089446325237156</v>
      </c>
      <c r="CW94">
        <f t="shared" si="256"/>
        <v>0.4089446325237156</v>
      </c>
      <c r="CX94">
        <f t="shared" si="257"/>
        <v>0.4089446325237156</v>
      </c>
      <c r="CY94">
        <f t="shared" si="258"/>
        <v>0.4089446325237156</v>
      </c>
      <c r="CZ94">
        <f t="shared" si="259"/>
        <v>0.4089446325237156</v>
      </c>
      <c r="DA94">
        <f t="shared" si="260"/>
        <v>0.4089446325237156</v>
      </c>
      <c r="DB94">
        <f t="shared" si="261"/>
        <v>0.4089446325237156</v>
      </c>
      <c r="DC94">
        <f t="shared" si="262"/>
        <v>0.4089446325237156</v>
      </c>
      <c r="DD94">
        <f t="shared" si="263"/>
        <v>0.40894158616793713</v>
      </c>
      <c r="DE94">
        <f t="shared" si="264"/>
        <v>0.40894158616793713</v>
      </c>
      <c r="DF94">
        <f t="shared" si="265"/>
        <v>0.40894158616793713</v>
      </c>
      <c r="DG94">
        <f t="shared" si="266"/>
        <v>0.40894158616793713</v>
      </c>
      <c r="DH94">
        <f t="shared" si="267"/>
        <v>0.40894158616793713</v>
      </c>
      <c r="DI94">
        <f t="shared" si="268"/>
        <v>0.40894158616793713</v>
      </c>
      <c r="DJ94">
        <f t="shared" si="269"/>
        <v>0.40894158616793713</v>
      </c>
      <c r="DK94">
        <f t="shared" si="270"/>
        <v>0.40894158616793713</v>
      </c>
      <c r="DL94">
        <f t="shared" si="271"/>
        <v>0.40894158616793713</v>
      </c>
      <c r="DM94" s="50">
        <f t="shared" si="272"/>
        <v>0.40894158616793713</v>
      </c>
      <c r="DN94" s="16"/>
      <c r="DO94" s="16"/>
      <c r="DP94" s="16"/>
      <c r="DQ94" s="16"/>
      <c r="DR94" s="16"/>
      <c r="DS94" s="28"/>
      <c r="DT94" s="28"/>
      <c r="DU94" s="28"/>
      <c r="DV94" s="28"/>
      <c r="DW94" s="28"/>
      <c r="DX94" s="28"/>
      <c r="DY94" s="28"/>
      <c r="DZ94" s="28"/>
      <c r="EA94" s="28"/>
      <c r="EB94" s="35"/>
      <c r="EC94" s="58">
        <f t="shared" si="273"/>
        <v>33</v>
      </c>
      <c r="ED94" s="44"/>
      <c r="EE94" s="52">
        <f t="shared" si="274"/>
        <v>206.86937861669952</v>
      </c>
      <c r="EF94" s="18">
        <f t="shared" si="274"/>
        <v>0</v>
      </c>
      <c r="EG94" s="18">
        <f t="shared" si="275"/>
        <v>0</v>
      </c>
      <c r="EH94" s="18">
        <f t="shared" si="276"/>
        <v>0</v>
      </c>
      <c r="EI94" s="18">
        <f t="shared" si="277"/>
        <v>0</v>
      </c>
      <c r="EJ94" s="18">
        <f t="shared" si="278"/>
        <v>0</v>
      </c>
      <c r="EK94" s="18">
        <f t="shared" si="279"/>
        <v>0</v>
      </c>
      <c r="EL94" s="18">
        <f t="shared" si="280"/>
        <v>0</v>
      </c>
      <c r="EM94" s="18">
        <f t="shared" si="281"/>
        <v>0</v>
      </c>
      <c r="EN94" s="18">
        <f t="shared" si="282"/>
        <v>0</v>
      </c>
      <c r="EO94" s="18">
        <f t="shared" si="283"/>
        <v>0</v>
      </c>
      <c r="EP94" s="18">
        <f t="shared" si="284"/>
        <v>0</v>
      </c>
      <c r="EQ94" s="18">
        <f t="shared" si="285"/>
        <v>0</v>
      </c>
      <c r="ER94" s="18">
        <f t="shared" si="286"/>
        <v>0</v>
      </c>
      <c r="ES94" s="18">
        <f t="shared" si="287"/>
        <v>0</v>
      </c>
      <c r="ET94" s="18">
        <f t="shared" si="288"/>
        <v>0</v>
      </c>
      <c r="EU94" s="18">
        <f t="shared" si="289"/>
        <v>0</v>
      </c>
      <c r="EV94" s="18">
        <f t="shared" si="290"/>
        <v>0</v>
      </c>
      <c r="EW94" s="18">
        <f t="shared" si="291"/>
        <v>0</v>
      </c>
      <c r="EX94" s="18">
        <f t="shared" si="292"/>
        <v>0</v>
      </c>
      <c r="EY94" s="18">
        <f t="shared" si="293"/>
        <v>0</v>
      </c>
      <c r="EZ94" s="18">
        <f t="shared" si="294"/>
        <v>0</v>
      </c>
      <c r="FA94" s="18">
        <f t="shared" si="295"/>
        <v>0</v>
      </c>
      <c r="FB94" s="18">
        <f t="shared" si="296"/>
        <v>0</v>
      </c>
      <c r="FC94" s="18">
        <f t="shared" si="297"/>
        <v>0</v>
      </c>
      <c r="FD94" s="52">
        <f t="shared" si="298"/>
        <v>0</v>
      </c>
      <c r="FE94" s="16"/>
      <c r="FF94" s="16"/>
      <c r="FG94" s="16"/>
      <c r="FH94" s="16"/>
      <c r="FI94" s="16"/>
      <c r="FJ94" s="28"/>
      <c r="FK94" s="28"/>
      <c r="FL94" s="28"/>
      <c r="FM94" s="28"/>
      <c r="FN94" s="28"/>
      <c r="FO94" s="28"/>
      <c r="FP94" s="28"/>
      <c r="FQ94" s="28"/>
      <c r="FR94" s="28"/>
      <c r="FS94" s="35"/>
    </row>
    <row r="95" spans="5:175">
      <c r="E95" s="48"/>
      <c r="F95" s="57">
        <f t="shared" si="324"/>
        <v>350</v>
      </c>
      <c r="G95">
        <f t="shared" si="299"/>
        <v>0</v>
      </c>
      <c r="H95">
        <f t="shared" si="300"/>
        <v>0</v>
      </c>
      <c r="I95">
        <f t="shared" si="301"/>
        <v>0</v>
      </c>
      <c r="J95">
        <f t="shared" si="302"/>
        <v>0</v>
      </c>
      <c r="K95">
        <f t="shared" si="303"/>
        <v>0</v>
      </c>
      <c r="L95">
        <f t="shared" si="304"/>
        <v>0</v>
      </c>
      <c r="M95">
        <f t="shared" si="305"/>
        <v>0</v>
      </c>
      <c r="N95">
        <f t="shared" si="306"/>
        <v>0</v>
      </c>
      <c r="O95">
        <f t="shared" si="307"/>
        <v>0</v>
      </c>
      <c r="P95">
        <f t="shared" si="308"/>
        <v>0</v>
      </c>
      <c r="Q95">
        <f t="shared" si="309"/>
        <v>0</v>
      </c>
      <c r="R95">
        <f t="shared" si="310"/>
        <v>0</v>
      </c>
      <c r="S95">
        <f t="shared" si="311"/>
        <v>0</v>
      </c>
      <c r="T95">
        <f t="shared" si="312"/>
        <v>0</v>
      </c>
      <c r="U95">
        <f t="shared" si="313"/>
        <v>0</v>
      </c>
      <c r="V95">
        <f t="shared" si="314"/>
        <v>0</v>
      </c>
      <c r="W95">
        <f t="shared" si="315"/>
        <v>0</v>
      </c>
      <c r="X95">
        <f t="shared" si="316"/>
        <v>0</v>
      </c>
      <c r="Y95">
        <f t="shared" si="317"/>
        <v>0</v>
      </c>
      <c r="Z95">
        <f t="shared" si="318"/>
        <v>0</v>
      </c>
      <c r="AA95">
        <f t="shared" si="319"/>
        <v>0</v>
      </c>
      <c r="AB95">
        <f t="shared" si="320"/>
        <v>0</v>
      </c>
      <c r="AC95">
        <f t="shared" si="321"/>
        <v>0</v>
      </c>
      <c r="AD95">
        <f t="shared" si="322"/>
        <v>0</v>
      </c>
      <c r="AE95" s="57">
        <f t="shared" si="322"/>
        <v>0</v>
      </c>
      <c r="AF95" s="16"/>
      <c r="AG95" s="16"/>
      <c r="AH95" s="16"/>
      <c r="AI95" s="16"/>
      <c r="AJ95" s="16"/>
      <c r="AK95" s="28"/>
      <c r="AL95" s="28"/>
      <c r="AM95" s="28"/>
      <c r="AN95" s="28"/>
      <c r="AO95" s="28"/>
      <c r="AP95" s="28"/>
      <c r="AQ95" s="28"/>
      <c r="AR95" s="28"/>
      <c r="AS95" s="28"/>
      <c r="AT95" s="35"/>
      <c r="AU95" s="58">
        <f t="shared" si="221"/>
        <v>32</v>
      </c>
      <c r="AV95" s="46"/>
      <c r="AW95" s="50">
        <f t="shared" si="323"/>
        <v>-1201970000</v>
      </c>
      <c r="AX95">
        <f t="shared" si="222"/>
        <v>-491535518.32627541</v>
      </c>
      <c r="AY95">
        <f t="shared" si="223"/>
        <v>-201009314.52222621</v>
      </c>
      <c r="AZ95">
        <f t="shared" si="224"/>
        <v>-82201067.91524896</v>
      </c>
      <c r="BA95">
        <f t="shared" si="225"/>
        <v>-33615435.097960241</v>
      </c>
      <c r="BB95">
        <f t="shared" si="226"/>
        <v>-13746749.348685214</v>
      </c>
      <c r="BC95">
        <f t="shared" si="227"/>
        <v>-5621617.4833044084</v>
      </c>
      <c r="BD95">
        <f t="shared" si="228"/>
        <v>-2298913.1704519605</v>
      </c>
      <c r="BE95">
        <f t="shared" si="229"/>
        <v>-940121.19838710595</v>
      </c>
      <c r="BF95">
        <f t="shared" si="230"/>
        <v>-384454.65405881801</v>
      </c>
      <c r="BG95">
        <f t="shared" si="231"/>
        <v>-157219.49604117507</v>
      </c>
      <c r="BH95">
        <f t="shared" si="232"/>
        <v>-64293.5900893539</v>
      </c>
      <c r="BI95">
        <f t="shared" si="233"/>
        <v>-26292.322715855888</v>
      </c>
      <c r="BJ95">
        <f t="shared" si="234"/>
        <v>-10752.024165938054</v>
      </c>
      <c r="BK95">
        <f t="shared" si="235"/>
        <v>-4396.9498425536722</v>
      </c>
      <c r="BL95">
        <f t="shared" si="236"/>
        <v>-1798.0957055617841</v>
      </c>
      <c r="BM95">
        <f t="shared" si="237"/>
        <v>-735.31626310727847</v>
      </c>
      <c r="BN95">
        <f t="shared" si="238"/>
        <v>-300.70177357889651</v>
      </c>
      <c r="BO95">
        <f t="shared" si="239"/>
        <v>-122.97037629545133</v>
      </c>
      <c r="BP95">
        <f t="shared" si="240"/>
        <v>-50.289940771667659</v>
      </c>
      <c r="BQ95">
        <f t="shared" si="241"/>
        <v>-20.571125794665335</v>
      </c>
      <c r="BR95">
        <f t="shared" si="242"/>
        <v>-8.4257835052350831</v>
      </c>
      <c r="BS95">
        <f t="shared" si="243"/>
        <v>-3.4784078112471994</v>
      </c>
      <c r="BT95">
        <f t="shared" si="244"/>
        <v>-1.5025614967083543</v>
      </c>
      <c r="BU95">
        <f t="shared" si="245"/>
        <v>-0.81032132445702887</v>
      </c>
      <c r="BV95" s="50">
        <f t="shared" si="246"/>
        <v>-0.81032132445702876</v>
      </c>
      <c r="BW95" s="16"/>
      <c r="BX95" s="16"/>
      <c r="BY95" s="16"/>
      <c r="BZ95" s="16"/>
      <c r="CA95" s="16"/>
      <c r="CB95" s="28"/>
      <c r="CC95" s="28"/>
      <c r="CD95" s="28"/>
      <c r="CE95" s="28"/>
      <c r="CF95" s="28"/>
      <c r="CG95" s="28"/>
      <c r="CH95" s="28"/>
      <c r="CI95" s="28"/>
      <c r="CJ95" s="28"/>
      <c r="CK95" s="35"/>
      <c r="CM95" s="44"/>
      <c r="CN95" s="50">
        <f t="shared" si="247"/>
        <v>0.40895980224407819</v>
      </c>
      <c r="CO95">
        <f t="shared" si="248"/>
        <v>0.40895980224407819</v>
      </c>
      <c r="CP95">
        <f t="shared" si="249"/>
        <v>0.40895980224407819</v>
      </c>
      <c r="CQ95">
        <f t="shared" si="250"/>
        <v>0.40895980224407819</v>
      </c>
      <c r="CR95">
        <f t="shared" si="251"/>
        <v>0.40895980224407819</v>
      </c>
      <c r="CS95">
        <f t="shared" si="252"/>
        <v>0.40895980224407819</v>
      </c>
      <c r="CT95">
        <f t="shared" si="253"/>
        <v>0.40895980224407819</v>
      </c>
      <c r="CU95">
        <f t="shared" si="254"/>
        <v>0.40895980224407819</v>
      </c>
      <c r="CV95">
        <f t="shared" si="255"/>
        <v>0.40895980224407819</v>
      </c>
      <c r="CW95">
        <f t="shared" si="256"/>
        <v>0.40895980224407819</v>
      </c>
      <c r="CX95">
        <f t="shared" si="257"/>
        <v>0.40895980224407819</v>
      </c>
      <c r="CY95">
        <f t="shared" si="258"/>
        <v>0.40895980224407819</v>
      </c>
      <c r="CZ95">
        <f t="shared" si="259"/>
        <v>0.40895980224407819</v>
      </c>
      <c r="DA95">
        <f t="shared" si="260"/>
        <v>0.40895980224407819</v>
      </c>
      <c r="DB95">
        <f t="shared" si="261"/>
        <v>0.40895980224407819</v>
      </c>
      <c r="DC95">
        <f t="shared" si="262"/>
        <v>0.40895980224407819</v>
      </c>
      <c r="DD95">
        <f t="shared" si="263"/>
        <v>0.40894158616793713</v>
      </c>
      <c r="DE95">
        <f t="shared" si="264"/>
        <v>0.40894158616793713</v>
      </c>
      <c r="DF95">
        <f t="shared" si="265"/>
        <v>0.40894158616793713</v>
      </c>
      <c r="DG95">
        <f t="shared" si="266"/>
        <v>0.40894158616793713</v>
      </c>
      <c r="DH95">
        <f t="shared" si="267"/>
        <v>0.40894158616793713</v>
      </c>
      <c r="DI95">
        <f t="shared" si="268"/>
        <v>0.40894158616793713</v>
      </c>
      <c r="DJ95">
        <f t="shared" si="269"/>
        <v>0.40894158616793713</v>
      </c>
      <c r="DK95">
        <f t="shared" si="270"/>
        <v>0.40894158616793713</v>
      </c>
      <c r="DL95">
        <f t="shared" si="271"/>
        <v>0.40894158616793713</v>
      </c>
      <c r="DM95" s="50">
        <f t="shared" si="272"/>
        <v>0.40894158616793713</v>
      </c>
      <c r="DN95" s="16"/>
      <c r="DO95" s="16"/>
      <c r="DP95" s="16"/>
      <c r="DQ95" s="16"/>
      <c r="DR95" s="16"/>
      <c r="DS95" s="28"/>
      <c r="DT95" s="28"/>
      <c r="DU95" s="28"/>
      <c r="DV95" s="28"/>
      <c r="DW95" s="28"/>
      <c r="DX95" s="28"/>
      <c r="DY95" s="28"/>
      <c r="DZ95" s="28"/>
      <c r="EA95" s="28"/>
      <c r="EB95" s="35"/>
      <c r="EC95" s="58">
        <f t="shared" si="273"/>
        <v>32</v>
      </c>
      <c r="ED95" s="44"/>
      <c r="EE95" s="52">
        <f t="shared" si="274"/>
        <v>206.86406921457262</v>
      </c>
      <c r="EF95" s="18">
        <f t="shared" si="274"/>
        <v>0</v>
      </c>
      <c r="EG95" s="18">
        <f t="shared" si="275"/>
        <v>0</v>
      </c>
      <c r="EH95" s="18">
        <f t="shared" si="276"/>
        <v>0</v>
      </c>
      <c r="EI95" s="18">
        <f t="shared" si="277"/>
        <v>0</v>
      </c>
      <c r="EJ95" s="18">
        <f t="shared" si="278"/>
        <v>0</v>
      </c>
      <c r="EK95" s="18">
        <f t="shared" si="279"/>
        <v>0</v>
      </c>
      <c r="EL95" s="18">
        <f t="shared" si="280"/>
        <v>0</v>
      </c>
      <c r="EM95" s="18">
        <f t="shared" si="281"/>
        <v>0</v>
      </c>
      <c r="EN95" s="18">
        <f t="shared" si="282"/>
        <v>0</v>
      </c>
      <c r="EO95" s="18">
        <f t="shared" si="283"/>
        <v>0</v>
      </c>
      <c r="EP95" s="18">
        <f t="shared" si="284"/>
        <v>0</v>
      </c>
      <c r="EQ95" s="18">
        <f t="shared" si="285"/>
        <v>0</v>
      </c>
      <c r="ER95" s="18">
        <f t="shared" si="286"/>
        <v>0</v>
      </c>
      <c r="ES95" s="18">
        <f t="shared" si="287"/>
        <v>0</v>
      </c>
      <c r="ET95" s="18">
        <f t="shared" si="288"/>
        <v>0</v>
      </c>
      <c r="EU95" s="18">
        <f t="shared" si="289"/>
        <v>0</v>
      </c>
      <c r="EV95" s="18">
        <f t="shared" si="290"/>
        <v>0</v>
      </c>
      <c r="EW95" s="18">
        <f t="shared" si="291"/>
        <v>0</v>
      </c>
      <c r="EX95" s="18">
        <f t="shared" si="292"/>
        <v>0</v>
      </c>
      <c r="EY95" s="18">
        <f t="shared" si="293"/>
        <v>0</v>
      </c>
      <c r="EZ95" s="18">
        <f t="shared" si="294"/>
        <v>0</v>
      </c>
      <c r="FA95" s="18">
        <f t="shared" si="295"/>
        <v>0</v>
      </c>
      <c r="FB95" s="18">
        <f t="shared" si="296"/>
        <v>0</v>
      </c>
      <c r="FC95" s="18">
        <f t="shared" si="297"/>
        <v>0</v>
      </c>
      <c r="FD95" s="52">
        <f t="shared" si="298"/>
        <v>0</v>
      </c>
      <c r="FE95" s="16"/>
      <c r="FF95" s="16"/>
      <c r="FG95" s="16"/>
      <c r="FH95" s="16"/>
      <c r="FI95" s="16"/>
      <c r="FJ95" s="28"/>
      <c r="FK95" s="28"/>
      <c r="FL95" s="28"/>
      <c r="FM95" s="28"/>
      <c r="FN95" s="28"/>
      <c r="FO95" s="28"/>
      <c r="FP95" s="28"/>
      <c r="FQ95" s="28"/>
      <c r="FR95" s="28"/>
      <c r="FS95" s="35"/>
    </row>
    <row r="96" spans="5:175">
      <c r="E96" s="48"/>
      <c r="F96" s="57">
        <f t="shared" si="324"/>
        <v>350</v>
      </c>
      <c r="G96">
        <f t="shared" si="299"/>
        <v>0</v>
      </c>
      <c r="H96">
        <f t="shared" si="300"/>
        <v>0</v>
      </c>
      <c r="I96">
        <f t="shared" si="301"/>
        <v>0</v>
      </c>
      <c r="J96">
        <f t="shared" si="302"/>
        <v>0</v>
      </c>
      <c r="K96">
        <f t="shared" si="303"/>
        <v>0</v>
      </c>
      <c r="L96">
        <f t="shared" si="304"/>
        <v>0</v>
      </c>
      <c r="M96">
        <f t="shared" si="305"/>
        <v>0</v>
      </c>
      <c r="N96">
        <f t="shared" si="306"/>
        <v>0</v>
      </c>
      <c r="O96">
        <f t="shared" si="307"/>
        <v>0</v>
      </c>
      <c r="P96">
        <f t="shared" si="308"/>
        <v>0</v>
      </c>
      <c r="Q96">
        <f t="shared" si="309"/>
        <v>0</v>
      </c>
      <c r="R96">
        <f t="shared" si="310"/>
        <v>0</v>
      </c>
      <c r="S96">
        <f t="shared" si="311"/>
        <v>0</v>
      </c>
      <c r="T96">
        <f t="shared" si="312"/>
        <v>0</v>
      </c>
      <c r="U96">
        <f t="shared" si="313"/>
        <v>0</v>
      </c>
      <c r="V96">
        <f t="shared" si="314"/>
        <v>0</v>
      </c>
      <c r="W96">
        <f t="shared" si="315"/>
        <v>0</v>
      </c>
      <c r="X96">
        <f t="shared" si="316"/>
        <v>0</v>
      </c>
      <c r="Y96">
        <f t="shared" si="317"/>
        <v>0</v>
      </c>
      <c r="Z96">
        <f t="shared" si="318"/>
        <v>0</v>
      </c>
      <c r="AA96">
        <f t="shared" si="319"/>
        <v>0</v>
      </c>
      <c r="AB96">
        <f t="shared" si="320"/>
        <v>0</v>
      </c>
      <c r="AC96">
        <f t="shared" si="321"/>
        <v>0</v>
      </c>
      <c r="AD96">
        <f t="shared" si="322"/>
        <v>0</v>
      </c>
      <c r="AE96" s="57">
        <f t="shared" si="322"/>
        <v>0</v>
      </c>
      <c r="AF96" s="16"/>
      <c r="AG96" s="16"/>
      <c r="AH96" s="16"/>
      <c r="AI96" s="16"/>
      <c r="AJ96" s="16"/>
      <c r="AK96" s="28"/>
      <c r="AL96" s="28"/>
      <c r="AM96" s="28"/>
      <c r="AN96" s="28"/>
      <c r="AO96" s="28"/>
      <c r="AP96" s="28"/>
      <c r="AQ96" s="28"/>
      <c r="AR96" s="28"/>
      <c r="AS96" s="28"/>
      <c r="AT96" s="35"/>
      <c r="AU96" s="58">
        <f t="shared" si="221"/>
        <v>31</v>
      </c>
      <c r="AV96" s="46"/>
      <c r="AW96" s="50">
        <f t="shared" si="323"/>
        <v>-1201970000</v>
      </c>
      <c r="AX96">
        <f t="shared" si="222"/>
        <v>-491535518.32627541</v>
      </c>
      <c r="AY96">
        <f t="shared" si="223"/>
        <v>-201009314.52222621</v>
      </c>
      <c r="AZ96">
        <f t="shared" si="224"/>
        <v>-82201067.91524896</v>
      </c>
      <c r="BA96">
        <f t="shared" si="225"/>
        <v>-33615435.097960241</v>
      </c>
      <c r="BB96">
        <f t="shared" si="226"/>
        <v>-13746749.348685214</v>
      </c>
      <c r="BC96">
        <f t="shared" si="227"/>
        <v>-5621617.4833044084</v>
      </c>
      <c r="BD96">
        <f t="shared" si="228"/>
        <v>-2298913.1704519605</v>
      </c>
      <c r="BE96">
        <f t="shared" si="229"/>
        <v>-940121.19838710595</v>
      </c>
      <c r="BF96">
        <f t="shared" si="230"/>
        <v>-384454.65405881801</v>
      </c>
      <c r="BG96">
        <f t="shared" si="231"/>
        <v>-157219.49604117507</v>
      </c>
      <c r="BH96">
        <f t="shared" si="232"/>
        <v>-64293.5900893539</v>
      </c>
      <c r="BI96">
        <f t="shared" si="233"/>
        <v>-26292.322715855888</v>
      </c>
      <c r="BJ96">
        <f t="shared" si="234"/>
        <v>-10752.024165938054</v>
      </c>
      <c r="BK96">
        <f t="shared" si="235"/>
        <v>-4396.9498425536722</v>
      </c>
      <c r="BL96">
        <f t="shared" si="236"/>
        <v>-1798.0957055617841</v>
      </c>
      <c r="BM96">
        <f t="shared" si="237"/>
        <v>-735.31626310727847</v>
      </c>
      <c r="BN96">
        <f t="shared" si="238"/>
        <v>-300.70177357889651</v>
      </c>
      <c r="BO96">
        <f t="shared" si="239"/>
        <v>-122.97037629545133</v>
      </c>
      <c r="BP96">
        <f t="shared" si="240"/>
        <v>-50.289940771667659</v>
      </c>
      <c r="BQ96">
        <f t="shared" si="241"/>
        <v>-20.571125794665335</v>
      </c>
      <c r="BR96">
        <f t="shared" si="242"/>
        <v>-8.4257835052350831</v>
      </c>
      <c r="BS96">
        <f t="shared" si="243"/>
        <v>-3.4784078112471994</v>
      </c>
      <c r="BT96">
        <f t="shared" si="244"/>
        <v>-1.5025614967083543</v>
      </c>
      <c r="BU96">
        <f t="shared" si="245"/>
        <v>-0.81032132445702887</v>
      </c>
      <c r="BV96" s="50">
        <f t="shared" si="246"/>
        <v>-0.81032132445702876</v>
      </c>
      <c r="BW96" s="16"/>
      <c r="BX96" s="16"/>
      <c r="BY96" s="16"/>
      <c r="BZ96" s="16"/>
      <c r="CA96" s="16"/>
      <c r="CB96" s="28"/>
      <c r="CC96" s="28"/>
      <c r="CD96" s="28"/>
      <c r="CE96" s="28"/>
      <c r="CF96" s="28"/>
      <c r="CG96" s="28"/>
      <c r="CH96" s="28"/>
      <c r="CI96" s="28"/>
      <c r="CJ96" s="28"/>
      <c r="CK96" s="35"/>
      <c r="CM96" s="44"/>
      <c r="CN96" s="50">
        <f t="shared" si="247"/>
        <v>0.40905050749740984</v>
      </c>
      <c r="CO96">
        <f t="shared" si="248"/>
        <v>0.40905050749740984</v>
      </c>
      <c r="CP96">
        <f t="shared" si="249"/>
        <v>0.40905050749740984</v>
      </c>
      <c r="CQ96">
        <f t="shared" si="250"/>
        <v>0.40905050749740984</v>
      </c>
      <c r="CR96">
        <f t="shared" si="251"/>
        <v>0.40905050749740984</v>
      </c>
      <c r="CS96">
        <f t="shared" si="252"/>
        <v>0.40905050749740984</v>
      </c>
      <c r="CT96">
        <f t="shared" si="253"/>
        <v>0.40905050749740984</v>
      </c>
      <c r="CU96">
        <f t="shared" si="254"/>
        <v>0.40905050749740984</v>
      </c>
      <c r="CV96">
        <f t="shared" si="255"/>
        <v>0.40905050749740984</v>
      </c>
      <c r="CW96">
        <f t="shared" si="256"/>
        <v>0.40905050749740984</v>
      </c>
      <c r="CX96">
        <f t="shared" si="257"/>
        <v>0.40905050749740984</v>
      </c>
      <c r="CY96">
        <f t="shared" si="258"/>
        <v>0.40905050749740984</v>
      </c>
      <c r="CZ96">
        <f t="shared" si="259"/>
        <v>0.40905050749740984</v>
      </c>
      <c r="DA96">
        <f t="shared" si="260"/>
        <v>0.40905050749740984</v>
      </c>
      <c r="DB96">
        <f t="shared" si="261"/>
        <v>0.40905050749740984</v>
      </c>
      <c r="DC96">
        <f t="shared" si="262"/>
        <v>0.40905050749740984</v>
      </c>
      <c r="DD96">
        <f t="shared" si="263"/>
        <v>0.40894158616793713</v>
      </c>
      <c r="DE96">
        <f t="shared" si="264"/>
        <v>0.40894158616793713</v>
      </c>
      <c r="DF96">
        <f t="shared" si="265"/>
        <v>0.40894158616793713</v>
      </c>
      <c r="DG96">
        <f t="shared" si="266"/>
        <v>0.40894158616793713</v>
      </c>
      <c r="DH96">
        <f t="shared" si="267"/>
        <v>0.40894158616793713</v>
      </c>
      <c r="DI96">
        <f t="shared" si="268"/>
        <v>0.40894158616793713</v>
      </c>
      <c r="DJ96">
        <f t="shared" si="269"/>
        <v>0.40894158616793713</v>
      </c>
      <c r="DK96">
        <f t="shared" si="270"/>
        <v>0.40894158616793713</v>
      </c>
      <c r="DL96">
        <f t="shared" si="271"/>
        <v>0.40894158616793713</v>
      </c>
      <c r="DM96" s="50">
        <f t="shared" si="272"/>
        <v>0.40894158616793713</v>
      </c>
      <c r="DN96" s="16"/>
      <c r="DO96" s="16"/>
      <c r="DP96" s="16"/>
      <c r="DQ96" s="16"/>
      <c r="DR96" s="16"/>
      <c r="DS96" s="28"/>
      <c r="DT96" s="28"/>
      <c r="DU96" s="28"/>
      <c r="DV96" s="28"/>
      <c r="DW96" s="28"/>
      <c r="DX96" s="28"/>
      <c r="DY96" s="28"/>
      <c r="DZ96" s="28"/>
      <c r="EA96" s="28"/>
      <c r="EB96" s="35"/>
      <c r="EC96" s="58">
        <f t="shared" si="273"/>
        <v>31</v>
      </c>
      <c r="ED96" s="44"/>
      <c r="EE96" s="52">
        <f t="shared" si="274"/>
        <v>206.83232237590653</v>
      </c>
      <c r="EF96" s="18">
        <f t="shared" si="274"/>
        <v>0</v>
      </c>
      <c r="EG96" s="18">
        <f t="shared" si="275"/>
        <v>0</v>
      </c>
      <c r="EH96" s="18">
        <f t="shared" si="276"/>
        <v>0</v>
      </c>
      <c r="EI96" s="18">
        <f t="shared" si="277"/>
        <v>0</v>
      </c>
      <c r="EJ96" s="18">
        <f t="shared" si="278"/>
        <v>0</v>
      </c>
      <c r="EK96" s="18">
        <f t="shared" si="279"/>
        <v>0</v>
      </c>
      <c r="EL96" s="18">
        <f t="shared" si="280"/>
        <v>0</v>
      </c>
      <c r="EM96" s="18">
        <f t="shared" si="281"/>
        <v>0</v>
      </c>
      <c r="EN96" s="18">
        <f t="shared" si="282"/>
        <v>0</v>
      </c>
      <c r="EO96" s="18">
        <f t="shared" si="283"/>
        <v>0</v>
      </c>
      <c r="EP96" s="18">
        <f t="shared" si="284"/>
        <v>0</v>
      </c>
      <c r="EQ96" s="18">
        <f t="shared" si="285"/>
        <v>0</v>
      </c>
      <c r="ER96" s="18">
        <f t="shared" si="286"/>
        <v>0</v>
      </c>
      <c r="ES96" s="18">
        <f t="shared" si="287"/>
        <v>0</v>
      </c>
      <c r="ET96" s="18">
        <f t="shared" si="288"/>
        <v>0</v>
      </c>
      <c r="EU96" s="18">
        <f t="shared" si="289"/>
        <v>0</v>
      </c>
      <c r="EV96" s="18">
        <f t="shared" si="290"/>
        <v>0</v>
      </c>
      <c r="EW96" s="18">
        <f t="shared" si="291"/>
        <v>0</v>
      </c>
      <c r="EX96" s="18">
        <f t="shared" si="292"/>
        <v>0</v>
      </c>
      <c r="EY96" s="18">
        <f t="shared" si="293"/>
        <v>0</v>
      </c>
      <c r="EZ96" s="18">
        <f t="shared" si="294"/>
        <v>0</v>
      </c>
      <c r="FA96" s="18">
        <f t="shared" si="295"/>
        <v>0</v>
      </c>
      <c r="FB96" s="18">
        <f t="shared" si="296"/>
        <v>0</v>
      </c>
      <c r="FC96" s="18">
        <f t="shared" si="297"/>
        <v>0</v>
      </c>
      <c r="FD96" s="52">
        <f t="shared" si="298"/>
        <v>0</v>
      </c>
      <c r="FE96" s="16"/>
      <c r="FF96" s="16"/>
      <c r="FG96" s="16"/>
      <c r="FH96" s="16"/>
      <c r="FI96" s="16"/>
      <c r="FJ96" s="28"/>
      <c r="FK96" s="28"/>
      <c r="FL96" s="28"/>
      <c r="FM96" s="28"/>
      <c r="FN96" s="28"/>
      <c r="FO96" s="28"/>
      <c r="FP96" s="28"/>
      <c r="FQ96" s="28"/>
      <c r="FR96" s="28"/>
      <c r="FS96" s="35"/>
    </row>
    <row r="97" spans="5:175">
      <c r="E97" s="48"/>
      <c r="F97" s="57">
        <f t="shared" si="324"/>
        <v>350</v>
      </c>
      <c r="G97">
        <f t="shared" si="299"/>
        <v>0</v>
      </c>
      <c r="H97">
        <f t="shared" si="300"/>
        <v>0</v>
      </c>
      <c r="I97">
        <f t="shared" si="301"/>
        <v>0</v>
      </c>
      <c r="J97">
        <f t="shared" si="302"/>
        <v>0</v>
      </c>
      <c r="K97">
        <f t="shared" si="303"/>
        <v>0</v>
      </c>
      <c r="L97">
        <f t="shared" si="304"/>
        <v>0</v>
      </c>
      <c r="M97">
        <f t="shared" si="305"/>
        <v>0</v>
      </c>
      <c r="N97">
        <f t="shared" si="306"/>
        <v>0</v>
      </c>
      <c r="O97">
        <f t="shared" si="307"/>
        <v>0</v>
      </c>
      <c r="P97">
        <f t="shared" si="308"/>
        <v>0</v>
      </c>
      <c r="Q97">
        <f t="shared" si="309"/>
        <v>0</v>
      </c>
      <c r="R97">
        <f t="shared" si="310"/>
        <v>0</v>
      </c>
      <c r="S97">
        <f t="shared" si="311"/>
        <v>0</v>
      </c>
      <c r="T97">
        <f t="shared" si="312"/>
        <v>0</v>
      </c>
      <c r="U97">
        <f t="shared" si="313"/>
        <v>0</v>
      </c>
      <c r="V97">
        <f t="shared" si="314"/>
        <v>0</v>
      </c>
      <c r="W97">
        <f t="shared" si="315"/>
        <v>0</v>
      </c>
      <c r="X97">
        <f t="shared" si="316"/>
        <v>0</v>
      </c>
      <c r="Y97">
        <f t="shared" si="317"/>
        <v>0</v>
      </c>
      <c r="Z97">
        <f t="shared" si="318"/>
        <v>0</v>
      </c>
      <c r="AA97">
        <f t="shared" si="319"/>
        <v>0</v>
      </c>
      <c r="AB97">
        <f t="shared" si="320"/>
        <v>0</v>
      </c>
      <c r="AC97">
        <f t="shared" si="321"/>
        <v>0</v>
      </c>
      <c r="AD97">
        <f t="shared" si="322"/>
        <v>0</v>
      </c>
      <c r="AE97" s="57">
        <f t="shared" si="322"/>
        <v>0</v>
      </c>
      <c r="AF97" s="16"/>
      <c r="AG97" s="16"/>
      <c r="AH97" s="16"/>
      <c r="AI97" s="16"/>
      <c r="AJ97" s="16"/>
      <c r="AK97" s="28"/>
      <c r="AL97" s="28"/>
      <c r="AM97" s="28"/>
      <c r="AN97" s="28"/>
      <c r="AO97" s="28"/>
      <c r="AP97" s="28"/>
      <c r="AQ97" s="28"/>
      <c r="AR97" s="28"/>
      <c r="AS97" s="28"/>
      <c r="AT97" s="35"/>
      <c r="AU97" s="58">
        <f t="shared" si="221"/>
        <v>30</v>
      </c>
      <c r="AV97" s="46"/>
      <c r="AW97" s="50">
        <f t="shared" si="323"/>
        <v>-1201970000</v>
      </c>
      <c r="AX97">
        <f t="shared" si="222"/>
        <v>-491535518.32627541</v>
      </c>
      <c r="AY97">
        <f t="shared" si="223"/>
        <v>-201009314.52222621</v>
      </c>
      <c r="AZ97">
        <f t="shared" si="224"/>
        <v>-82201067.91524896</v>
      </c>
      <c r="BA97">
        <f t="shared" si="225"/>
        <v>-33615435.097960241</v>
      </c>
      <c r="BB97">
        <f t="shared" si="226"/>
        <v>-13746749.348685214</v>
      </c>
      <c r="BC97">
        <f t="shared" si="227"/>
        <v>-5621617.4833044084</v>
      </c>
      <c r="BD97">
        <f t="shared" si="228"/>
        <v>-2298913.1704519605</v>
      </c>
      <c r="BE97">
        <f t="shared" si="229"/>
        <v>-940121.19838710595</v>
      </c>
      <c r="BF97">
        <f t="shared" si="230"/>
        <v>-384454.65405881801</v>
      </c>
      <c r="BG97">
        <f t="shared" si="231"/>
        <v>-157219.49604117507</v>
      </c>
      <c r="BH97">
        <f t="shared" si="232"/>
        <v>-64293.5900893539</v>
      </c>
      <c r="BI97">
        <f t="shared" si="233"/>
        <v>-26292.322715855888</v>
      </c>
      <c r="BJ97">
        <f t="shared" si="234"/>
        <v>-10752.024165938054</v>
      </c>
      <c r="BK97">
        <f t="shared" si="235"/>
        <v>-4396.9498425536722</v>
      </c>
      <c r="BL97">
        <f t="shared" si="236"/>
        <v>-1798.0957055617841</v>
      </c>
      <c r="BM97">
        <f t="shared" si="237"/>
        <v>-735.31626310727847</v>
      </c>
      <c r="BN97">
        <f t="shared" si="238"/>
        <v>-300.70177357889651</v>
      </c>
      <c r="BO97">
        <f t="shared" si="239"/>
        <v>-122.97037629545133</v>
      </c>
      <c r="BP97">
        <f t="shared" si="240"/>
        <v>-50.289940771667659</v>
      </c>
      <c r="BQ97">
        <f t="shared" si="241"/>
        <v>-20.571125794665335</v>
      </c>
      <c r="BR97">
        <f t="shared" si="242"/>
        <v>-8.4257835052350831</v>
      </c>
      <c r="BS97">
        <f t="shared" si="243"/>
        <v>-3.4784078112471994</v>
      </c>
      <c r="BT97">
        <f t="shared" si="244"/>
        <v>-1.5025614967083543</v>
      </c>
      <c r="BU97">
        <f t="shared" si="245"/>
        <v>-0.81032132445702887</v>
      </c>
      <c r="BV97" s="50">
        <f t="shared" si="246"/>
        <v>-0.81032132445702876</v>
      </c>
      <c r="BW97" s="16"/>
      <c r="BX97" s="16"/>
      <c r="BY97" s="16"/>
      <c r="BZ97" s="16"/>
      <c r="CA97" s="16"/>
      <c r="CB97" s="28"/>
      <c r="CC97" s="28"/>
      <c r="CD97" s="28"/>
      <c r="CE97" s="28"/>
      <c r="CF97" s="28"/>
      <c r="CG97" s="28"/>
      <c r="CH97" s="28"/>
      <c r="CI97" s="28"/>
      <c r="CJ97" s="28"/>
      <c r="CK97" s="35"/>
      <c r="CM97" s="44"/>
      <c r="CN97" s="50">
        <f t="shared" si="247"/>
        <v>0.4095927266858736</v>
      </c>
      <c r="CO97">
        <f t="shared" si="248"/>
        <v>0.4095927266858736</v>
      </c>
      <c r="CP97">
        <f t="shared" si="249"/>
        <v>0.4095927266858736</v>
      </c>
      <c r="CQ97">
        <f t="shared" si="250"/>
        <v>0.4095927266858736</v>
      </c>
      <c r="CR97">
        <f t="shared" si="251"/>
        <v>0.4095927266858736</v>
      </c>
      <c r="CS97">
        <f t="shared" si="252"/>
        <v>0.4095927266858736</v>
      </c>
      <c r="CT97">
        <f t="shared" si="253"/>
        <v>0.4095927266858736</v>
      </c>
      <c r="CU97">
        <f t="shared" si="254"/>
        <v>0.4095927266858736</v>
      </c>
      <c r="CV97">
        <f t="shared" si="255"/>
        <v>0.4095927266858736</v>
      </c>
      <c r="CW97">
        <f t="shared" si="256"/>
        <v>0.4095927266858736</v>
      </c>
      <c r="CX97">
        <f t="shared" si="257"/>
        <v>0.4095927266858736</v>
      </c>
      <c r="CY97">
        <f t="shared" si="258"/>
        <v>0.4095927266858736</v>
      </c>
      <c r="CZ97">
        <f t="shared" si="259"/>
        <v>0.4095927266858736</v>
      </c>
      <c r="DA97">
        <f t="shared" si="260"/>
        <v>0.4095927266858736</v>
      </c>
      <c r="DB97">
        <f t="shared" si="261"/>
        <v>0.4095927266858736</v>
      </c>
      <c r="DC97">
        <f t="shared" si="262"/>
        <v>0.4095927266858736</v>
      </c>
      <c r="DD97">
        <f t="shared" si="263"/>
        <v>0.40894158616793713</v>
      </c>
      <c r="DE97">
        <f t="shared" si="264"/>
        <v>0.40894158616793713</v>
      </c>
      <c r="DF97">
        <f t="shared" si="265"/>
        <v>0.40894158616793713</v>
      </c>
      <c r="DG97">
        <f t="shared" si="266"/>
        <v>0.40894158616793713</v>
      </c>
      <c r="DH97">
        <f t="shared" si="267"/>
        <v>0.40894158616793713</v>
      </c>
      <c r="DI97">
        <f t="shared" si="268"/>
        <v>0.40894158616793713</v>
      </c>
      <c r="DJ97">
        <f t="shared" si="269"/>
        <v>0.40894158616793713</v>
      </c>
      <c r="DK97">
        <f t="shared" si="270"/>
        <v>0.40894158616793713</v>
      </c>
      <c r="DL97">
        <f t="shared" si="271"/>
        <v>0.40894158616793713</v>
      </c>
      <c r="DM97" s="50">
        <f t="shared" si="272"/>
        <v>0.40894158616793713</v>
      </c>
      <c r="DN97" s="16"/>
      <c r="DO97" s="16"/>
      <c r="DP97" s="16"/>
      <c r="DQ97" s="16"/>
      <c r="DR97" s="16"/>
      <c r="DS97" s="28"/>
      <c r="DT97" s="28"/>
      <c r="DU97" s="28"/>
      <c r="DV97" s="28"/>
      <c r="DW97" s="28"/>
      <c r="DX97" s="28"/>
      <c r="DY97" s="28"/>
      <c r="DZ97" s="28"/>
      <c r="EA97" s="28"/>
      <c r="EB97" s="35"/>
      <c r="EC97" s="58">
        <f t="shared" si="273"/>
        <v>30</v>
      </c>
      <c r="ED97" s="44"/>
      <c r="EE97" s="52">
        <f t="shared" si="274"/>
        <v>206.64254565994423</v>
      </c>
      <c r="EF97" s="18">
        <f t="shared" si="274"/>
        <v>0</v>
      </c>
      <c r="EG97" s="18">
        <f t="shared" si="275"/>
        <v>0</v>
      </c>
      <c r="EH97" s="18">
        <f t="shared" si="276"/>
        <v>0</v>
      </c>
      <c r="EI97" s="18">
        <f t="shared" si="277"/>
        <v>0</v>
      </c>
      <c r="EJ97" s="18">
        <f t="shared" si="278"/>
        <v>0</v>
      </c>
      <c r="EK97" s="18">
        <f t="shared" si="279"/>
        <v>0</v>
      </c>
      <c r="EL97" s="18">
        <f t="shared" si="280"/>
        <v>0</v>
      </c>
      <c r="EM97" s="18">
        <f t="shared" si="281"/>
        <v>0</v>
      </c>
      <c r="EN97" s="18">
        <f t="shared" si="282"/>
        <v>0</v>
      </c>
      <c r="EO97" s="18">
        <f t="shared" si="283"/>
        <v>0</v>
      </c>
      <c r="EP97" s="18">
        <f t="shared" si="284"/>
        <v>0</v>
      </c>
      <c r="EQ97" s="18">
        <f t="shared" si="285"/>
        <v>0</v>
      </c>
      <c r="ER97" s="18">
        <f t="shared" si="286"/>
        <v>0</v>
      </c>
      <c r="ES97" s="18">
        <f t="shared" si="287"/>
        <v>0</v>
      </c>
      <c r="ET97" s="18">
        <f t="shared" si="288"/>
        <v>0</v>
      </c>
      <c r="EU97" s="18">
        <f t="shared" si="289"/>
        <v>0</v>
      </c>
      <c r="EV97" s="18">
        <f t="shared" si="290"/>
        <v>0</v>
      </c>
      <c r="EW97" s="18">
        <f t="shared" si="291"/>
        <v>0</v>
      </c>
      <c r="EX97" s="18">
        <f t="shared" si="292"/>
        <v>0</v>
      </c>
      <c r="EY97" s="18">
        <f t="shared" si="293"/>
        <v>0</v>
      </c>
      <c r="EZ97" s="18">
        <f t="shared" si="294"/>
        <v>0</v>
      </c>
      <c r="FA97" s="18">
        <f t="shared" si="295"/>
        <v>0</v>
      </c>
      <c r="FB97" s="18">
        <f t="shared" si="296"/>
        <v>0</v>
      </c>
      <c r="FC97" s="18">
        <f t="shared" si="297"/>
        <v>0</v>
      </c>
      <c r="FD97" s="52">
        <f t="shared" si="298"/>
        <v>0</v>
      </c>
      <c r="FE97" s="16"/>
      <c r="FF97" s="16"/>
      <c r="FG97" s="16"/>
      <c r="FH97" s="16"/>
      <c r="FI97" s="16"/>
      <c r="FJ97" s="28"/>
      <c r="FK97" s="28"/>
      <c r="FL97" s="28"/>
      <c r="FM97" s="28"/>
      <c r="FN97" s="28"/>
      <c r="FO97" s="28"/>
      <c r="FP97" s="28"/>
      <c r="FQ97" s="28"/>
      <c r="FR97" s="28"/>
      <c r="FS97" s="35"/>
    </row>
    <row r="98" spans="5:175">
      <c r="E98" s="48"/>
      <c r="F98" s="57">
        <f t="shared" si="324"/>
        <v>350</v>
      </c>
      <c r="G98">
        <f t="shared" si="299"/>
        <v>0</v>
      </c>
      <c r="H98">
        <f t="shared" si="300"/>
        <v>0</v>
      </c>
      <c r="I98">
        <f t="shared" si="301"/>
        <v>0</v>
      </c>
      <c r="J98">
        <f t="shared" si="302"/>
        <v>0</v>
      </c>
      <c r="K98">
        <f t="shared" si="303"/>
        <v>0</v>
      </c>
      <c r="L98">
        <f t="shared" si="304"/>
        <v>0</v>
      </c>
      <c r="M98">
        <f t="shared" si="305"/>
        <v>0</v>
      </c>
      <c r="N98">
        <f t="shared" si="306"/>
        <v>0</v>
      </c>
      <c r="O98">
        <f t="shared" si="307"/>
        <v>0</v>
      </c>
      <c r="P98">
        <f t="shared" si="308"/>
        <v>0</v>
      </c>
      <c r="Q98">
        <f t="shared" si="309"/>
        <v>0</v>
      </c>
      <c r="R98">
        <f t="shared" si="310"/>
        <v>0</v>
      </c>
      <c r="S98">
        <f t="shared" si="311"/>
        <v>0</v>
      </c>
      <c r="T98">
        <f t="shared" si="312"/>
        <v>0</v>
      </c>
      <c r="U98">
        <f t="shared" si="313"/>
        <v>0</v>
      </c>
      <c r="V98">
        <f t="shared" si="314"/>
        <v>0</v>
      </c>
      <c r="W98">
        <f t="shared" si="315"/>
        <v>0</v>
      </c>
      <c r="X98">
        <f t="shared" si="316"/>
        <v>0</v>
      </c>
      <c r="Y98">
        <f t="shared" si="317"/>
        <v>0</v>
      </c>
      <c r="Z98">
        <f t="shared" si="318"/>
        <v>0</v>
      </c>
      <c r="AA98">
        <f t="shared" si="319"/>
        <v>0</v>
      </c>
      <c r="AB98">
        <f t="shared" si="320"/>
        <v>0</v>
      </c>
      <c r="AC98">
        <f t="shared" si="321"/>
        <v>0</v>
      </c>
      <c r="AD98">
        <f t="shared" si="322"/>
        <v>0</v>
      </c>
      <c r="AE98" s="57">
        <f t="shared" si="322"/>
        <v>0</v>
      </c>
      <c r="AF98" s="16"/>
      <c r="AG98" s="16"/>
      <c r="AH98" s="16"/>
      <c r="AI98" s="16"/>
      <c r="AJ98" s="16"/>
      <c r="AK98" s="28"/>
      <c r="AL98" s="28"/>
      <c r="AM98" s="28"/>
      <c r="AN98" s="28"/>
      <c r="AO98" s="28"/>
      <c r="AP98" s="28"/>
      <c r="AQ98" s="28"/>
      <c r="AR98" s="28"/>
      <c r="AS98" s="28"/>
      <c r="AT98" s="35"/>
      <c r="AU98" s="58">
        <f t="shared" si="221"/>
        <v>29</v>
      </c>
      <c r="AV98" s="46"/>
      <c r="AW98" s="50">
        <f t="shared" si="323"/>
        <v>-1201970000</v>
      </c>
      <c r="AX98">
        <f t="shared" si="222"/>
        <v>-491535518.32627541</v>
      </c>
      <c r="AY98">
        <f t="shared" si="223"/>
        <v>-201009314.52222621</v>
      </c>
      <c r="AZ98">
        <f t="shared" si="224"/>
        <v>-82201067.91524896</v>
      </c>
      <c r="BA98">
        <f t="shared" si="225"/>
        <v>-33615435.097960241</v>
      </c>
      <c r="BB98">
        <f t="shared" si="226"/>
        <v>-13746749.348685214</v>
      </c>
      <c r="BC98">
        <f t="shared" si="227"/>
        <v>-5621617.4833044084</v>
      </c>
      <c r="BD98">
        <f t="shared" si="228"/>
        <v>-2298913.1704519605</v>
      </c>
      <c r="BE98">
        <f t="shared" si="229"/>
        <v>-940121.19838710595</v>
      </c>
      <c r="BF98">
        <f t="shared" si="230"/>
        <v>-384454.65405881801</v>
      </c>
      <c r="BG98">
        <f t="shared" si="231"/>
        <v>-157219.49604117507</v>
      </c>
      <c r="BH98">
        <f t="shared" si="232"/>
        <v>-64293.5900893539</v>
      </c>
      <c r="BI98">
        <f t="shared" si="233"/>
        <v>-26292.322715855888</v>
      </c>
      <c r="BJ98">
        <f t="shared" si="234"/>
        <v>-10752.024165938054</v>
      </c>
      <c r="BK98">
        <f t="shared" si="235"/>
        <v>-4396.9498425536722</v>
      </c>
      <c r="BL98">
        <f t="shared" si="236"/>
        <v>-1798.0957055617841</v>
      </c>
      <c r="BM98">
        <f t="shared" si="237"/>
        <v>-735.31626310727847</v>
      </c>
      <c r="BN98">
        <f t="shared" si="238"/>
        <v>-300.70177357889651</v>
      </c>
      <c r="BO98">
        <f t="shared" si="239"/>
        <v>-122.97037629545133</v>
      </c>
      <c r="BP98">
        <f t="shared" si="240"/>
        <v>-50.289940771667659</v>
      </c>
      <c r="BQ98">
        <f t="shared" si="241"/>
        <v>-20.571125794665335</v>
      </c>
      <c r="BR98">
        <f t="shared" si="242"/>
        <v>-8.4257835052350831</v>
      </c>
      <c r="BS98">
        <f t="shared" si="243"/>
        <v>-3.4784078112471994</v>
      </c>
      <c r="BT98">
        <f t="shared" si="244"/>
        <v>-1.5025614967083543</v>
      </c>
      <c r="BU98">
        <f t="shared" si="245"/>
        <v>-0.81032132445702887</v>
      </c>
      <c r="BV98" s="50">
        <f t="shared" si="246"/>
        <v>-0.81032132445702876</v>
      </c>
      <c r="BW98" s="16"/>
      <c r="BX98" s="16"/>
      <c r="BY98" s="16"/>
      <c r="BZ98" s="16"/>
      <c r="CA98" s="16"/>
      <c r="CB98" s="28"/>
      <c r="CC98" s="28"/>
      <c r="CD98" s="28"/>
      <c r="CE98" s="28"/>
      <c r="CF98" s="28"/>
      <c r="CG98" s="28"/>
      <c r="CH98" s="28"/>
      <c r="CI98" s="28"/>
      <c r="CJ98" s="28"/>
      <c r="CK98" s="35"/>
      <c r="CM98" s="44"/>
      <c r="CN98" s="50">
        <f t="shared" si="247"/>
        <v>0.41282900386486376</v>
      </c>
      <c r="CO98">
        <f t="shared" si="248"/>
        <v>0.41282900386486376</v>
      </c>
      <c r="CP98">
        <f t="shared" si="249"/>
        <v>0.41282900386486376</v>
      </c>
      <c r="CQ98">
        <f t="shared" si="250"/>
        <v>0.41282900386486376</v>
      </c>
      <c r="CR98">
        <f t="shared" si="251"/>
        <v>0.41282900386486376</v>
      </c>
      <c r="CS98">
        <f t="shared" si="252"/>
        <v>0.41282900386486376</v>
      </c>
      <c r="CT98">
        <f t="shared" si="253"/>
        <v>0.41282900386486376</v>
      </c>
      <c r="CU98">
        <f t="shared" si="254"/>
        <v>0.41282900386486376</v>
      </c>
      <c r="CV98">
        <f t="shared" si="255"/>
        <v>0.41282900386486376</v>
      </c>
      <c r="CW98">
        <f t="shared" si="256"/>
        <v>0.41282900386486376</v>
      </c>
      <c r="CX98">
        <f t="shared" si="257"/>
        <v>0.41282900386486376</v>
      </c>
      <c r="CY98">
        <f t="shared" si="258"/>
        <v>0.41282900386486376</v>
      </c>
      <c r="CZ98">
        <f t="shared" si="259"/>
        <v>0.41282900386486376</v>
      </c>
      <c r="DA98">
        <f t="shared" si="260"/>
        <v>0.41282900386486376</v>
      </c>
      <c r="DB98">
        <f t="shared" si="261"/>
        <v>0.41282900386486376</v>
      </c>
      <c r="DC98">
        <f t="shared" si="262"/>
        <v>0.41282900386486376</v>
      </c>
      <c r="DD98">
        <f t="shared" si="263"/>
        <v>0.40894158616793713</v>
      </c>
      <c r="DE98">
        <f t="shared" si="264"/>
        <v>0.40894158616793713</v>
      </c>
      <c r="DF98">
        <f t="shared" si="265"/>
        <v>0.40894158616793713</v>
      </c>
      <c r="DG98">
        <f t="shared" si="266"/>
        <v>0.40894158616793713</v>
      </c>
      <c r="DH98">
        <f t="shared" si="267"/>
        <v>0.40894158616793713</v>
      </c>
      <c r="DI98">
        <f t="shared" si="268"/>
        <v>0.40894158616793713</v>
      </c>
      <c r="DJ98">
        <f t="shared" si="269"/>
        <v>0.40894158616793713</v>
      </c>
      <c r="DK98">
        <f t="shared" si="270"/>
        <v>0.40894158616793713</v>
      </c>
      <c r="DL98">
        <f t="shared" si="271"/>
        <v>0.40894158616793713</v>
      </c>
      <c r="DM98" s="50">
        <f t="shared" si="272"/>
        <v>0.40894158616793713</v>
      </c>
      <c r="DN98" s="16"/>
      <c r="DO98" s="16"/>
      <c r="DP98" s="16"/>
      <c r="DQ98" s="16"/>
      <c r="DR98" s="16"/>
      <c r="DS98" s="28"/>
      <c r="DT98" s="28"/>
      <c r="DU98" s="28"/>
      <c r="DV98" s="28"/>
      <c r="DW98" s="28"/>
      <c r="DX98" s="28"/>
      <c r="DY98" s="28"/>
      <c r="DZ98" s="28"/>
      <c r="EA98" s="28"/>
      <c r="EB98" s="35"/>
      <c r="EC98" s="58">
        <f t="shared" si="273"/>
        <v>29</v>
      </c>
      <c r="ED98" s="44"/>
      <c r="EE98" s="52">
        <f t="shared" si="274"/>
        <v>205.50984864729767</v>
      </c>
      <c r="EF98" s="18">
        <f t="shared" si="274"/>
        <v>0</v>
      </c>
      <c r="EG98" s="18">
        <f t="shared" si="275"/>
        <v>0</v>
      </c>
      <c r="EH98" s="18">
        <f t="shared" si="276"/>
        <v>0</v>
      </c>
      <c r="EI98" s="18">
        <f t="shared" si="277"/>
        <v>0</v>
      </c>
      <c r="EJ98" s="18">
        <f t="shared" si="278"/>
        <v>0</v>
      </c>
      <c r="EK98" s="18">
        <f t="shared" si="279"/>
        <v>0</v>
      </c>
      <c r="EL98" s="18">
        <f t="shared" si="280"/>
        <v>0</v>
      </c>
      <c r="EM98" s="18">
        <f t="shared" si="281"/>
        <v>0</v>
      </c>
      <c r="EN98" s="18">
        <f t="shared" si="282"/>
        <v>0</v>
      </c>
      <c r="EO98" s="18">
        <f t="shared" si="283"/>
        <v>0</v>
      </c>
      <c r="EP98" s="18">
        <f t="shared" si="284"/>
        <v>0</v>
      </c>
      <c r="EQ98" s="18">
        <f t="shared" si="285"/>
        <v>0</v>
      </c>
      <c r="ER98" s="18">
        <f t="shared" si="286"/>
        <v>0</v>
      </c>
      <c r="ES98" s="18">
        <f t="shared" si="287"/>
        <v>0</v>
      </c>
      <c r="ET98" s="18">
        <f t="shared" si="288"/>
        <v>0</v>
      </c>
      <c r="EU98" s="18">
        <f t="shared" si="289"/>
        <v>0</v>
      </c>
      <c r="EV98" s="18">
        <f t="shared" si="290"/>
        <v>0</v>
      </c>
      <c r="EW98" s="18">
        <f t="shared" si="291"/>
        <v>0</v>
      </c>
      <c r="EX98" s="18">
        <f t="shared" si="292"/>
        <v>0</v>
      </c>
      <c r="EY98" s="18">
        <f t="shared" si="293"/>
        <v>0</v>
      </c>
      <c r="EZ98" s="18">
        <f t="shared" si="294"/>
        <v>0</v>
      </c>
      <c r="FA98" s="18">
        <f t="shared" si="295"/>
        <v>0</v>
      </c>
      <c r="FB98" s="18">
        <f t="shared" si="296"/>
        <v>0</v>
      </c>
      <c r="FC98" s="18">
        <f t="shared" si="297"/>
        <v>0</v>
      </c>
      <c r="FD98" s="52">
        <f t="shared" si="298"/>
        <v>0</v>
      </c>
      <c r="FE98" s="16"/>
      <c r="FF98" s="16"/>
      <c r="FG98" s="16"/>
      <c r="FH98" s="16"/>
      <c r="FI98" s="16"/>
      <c r="FJ98" s="28"/>
      <c r="FK98" s="28"/>
      <c r="FL98" s="28"/>
      <c r="FM98" s="28"/>
      <c r="FN98" s="28"/>
      <c r="FO98" s="28"/>
      <c r="FP98" s="28"/>
      <c r="FQ98" s="28"/>
      <c r="FR98" s="28"/>
      <c r="FS98" s="35"/>
    </row>
    <row r="99" spans="5:175">
      <c r="E99" s="48"/>
      <c r="F99" s="57">
        <f t="shared" si="324"/>
        <v>350</v>
      </c>
      <c r="G99">
        <f t="shared" si="299"/>
        <v>0</v>
      </c>
      <c r="H99">
        <f t="shared" si="300"/>
        <v>0</v>
      </c>
      <c r="I99">
        <f t="shared" si="301"/>
        <v>0</v>
      </c>
      <c r="J99">
        <f t="shared" si="302"/>
        <v>0</v>
      </c>
      <c r="K99">
        <f t="shared" si="303"/>
        <v>0</v>
      </c>
      <c r="L99">
        <f t="shared" si="304"/>
        <v>0</v>
      </c>
      <c r="M99">
        <f t="shared" si="305"/>
        <v>0</v>
      </c>
      <c r="N99">
        <f t="shared" si="306"/>
        <v>0</v>
      </c>
      <c r="O99">
        <f t="shared" si="307"/>
        <v>0</v>
      </c>
      <c r="P99">
        <f t="shared" si="308"/>
        <v>0</v>
      </c>
      <c r="Q99">
        <f t="shared" si="309"/>
        <v>0</v>
      </c>
      <c r="R99">
        <f t="shared" si="310"/>
        <v>0</v>
      </c>
      <c r="S99">
        <f t="shared" si="311"/>
        <v>0</v>
      </c>
      <c r="T99">
        <f t="shared" si="312"/>
        <v>0</v>
      </c>
      <c r="U99">
        <f t="shared" si="313"/>
        <v>0</v>
      </c>
      <c r="V99">
        <f t="shared" si="314"/>
        <v>0</v>
      </c>
      <c r="W99">
        <f t="shared" si="315"/>
        <v>0</v>
      </c>
      <c r="X99">
        <f t="shared" si="316"/>
        <v>0</v>
      </c>
      <c r="Y99">
        <f t="shared" si="317"/>
        <v>0</v>
      </c>
      <c r="Z99">
        <f t="shared" si="318"/>
        <v>0</v>
      </c>
      <c r="AA99">
        <f t="shared" si="319"/>
        <v>0</v>
      </c>
      <c r="AB99">
        <f t="shared" si="320"/>
        <v>0</v>
      </c>
      <c r="AC99">
        <f t="shared" si="321"/>
        <v>0</v>
      </c>
      <c r="AD99">
        <f t="shared" si="322"/>
        <v>0</v>
      </c>
      <c r="AE99" s="57">
        <f t="shared" si="322"/>
        <v>0</v>
      </c>
      <c r="AF99" s="16"/>
      <c r="AG99" s="16"/>
      <c r="AH99" s="16"/>
      <c r="AI99" s="16"/>
      <c r="AJ99" s="16"/>
      <c r="AK99" s="28"/>
      <c r="AL99" s="28"/>
      <c r="AM99" s="28"/>
      <c r="AN99" s="28"/>
      <c r="AO99" s="28"/>
      <c r="AP99" s="28"/>
      <c r="AQ99" s="28"/>
      <c r="AR99" s="28"/>
      <c r="AS99" s="28"/>
      <c r="AT99" s="35"/>
      <c r="AU99" s="58">
        <f t="shared" si="221"/>
        <v>28</v>
      </c>
      <c r="AV99" s="46"/>
      <c r="AW99" s="50">
        <f t="shared" si="323"/>
        <v>-1201970000</v>
      </c>
      <c r="AX99">
        <f t="shared" si="222"/>
        <v>-491535518.32627541</v>
      </c>
      <c r="AY99">
        <f t="shared" si="223"/>
        <v>-201009314.52222621</v>
      </c>
      <c r="AZ99">
        <f t="shared" si="224"/>
        <v>-82201067.91524896</v>
      </c>
      <c r="BA99">
        <f t="shared" si="225"/>
        <v>-33615435.097960241</v>
      </c>
      <c r="BB99">
        <f t="shared" si="226"/>
        <v>-13746749.348685214</v>
      </c>
      <c r="BC99">
        <f t="shared" si="227"/>
        <v>-5621617.4833044084</v>
      </c>
      <c r="BD99">
        <f t="shared" si="228"/>
        <v>-2298913.1704519605</v>
      </c>
      <c r="BE99">
        <f t="shared" si="229"/>
        <v>-940121.19838710595</v>
      </c>
      <c r="BF99">
        <f t="shared" si="230"/>
        <v>-384454.65405881801</v>
      </c>
      <c r="BG99">
        <f t="shared" si="231"/>
        <v>-157219.49604117507</v>
      </c>
      <c r="BH99">
        <f t="shared" si="232"/>
        <v>-64293.5900893539</v>
      </c>
      <c r="BI99">
        <f t="shared" si="233"/>
        <v>-26292.322715855888</v>
      </c>
      <c r="BJ99">
        <f t="shared" si="234"/>
        <v>-10752.024165938054</v>
      </c>
      <c r="BK99">
        <f t="shared" si="235"/>
        <v>-4396.9498425536722</v>
      </c>
      <c r="BL99">
        <f t="shared" si="236"/>
        <v>-1798.0957055617841</v>
      </c>
      <c r="BM99">
        <f t="shared" si="237"/>
        <v>-735.31626310727847</v>
      </c>
      <c r="BN99">
        <f t="shared" si="238"/>
        <v>-300.70177357889651</v>
      </c>
      <c r="BO99">
        <f t="shared" si="239"/>
        <v>-122.97037629545133</v>
      </c>
      <c r="BP99">
        <f t="shared" si="240"/>
        <v>-50.289940771667659</v>
      </c>
      <c r="BQ99">
        <f t="shared" si="241"/>
        <v>-20.571125794665335</v>
      </c>
      <c r="BR99">
        <f t="shared" si="242"/>
        <v>-8.4257835052350831</v>
      </c>
      <c r="BS99">
        <f t="shared" si="243"/>
        <v>-3.4784078112471994</v>
      </c>
      <c r="BT99">
        <f t="shared" si="244"/>
        <v>-1.5025614967083543</v>
      </c>
      <c r="BU99">
        <f t="shared" si="245"/>
        <v>-0.81032132445702887</v>
      </c>
      <c r="BV99" s="50">
        <f t="shared" si="246"/>
        <v>-0.81032132445702876</v>
      </c>
      <c r="BW99" s="16"/>
      <c r="BX99" s="16"/>
      <c r="BY99" s="16"/>
      <c r="BZ99" s="16"/>
      <c r="CA99" s="16"/>
      <c r="CB99" s="28"/>
      <c r="CC99" s="28"/>
      <c r="CD99" s="28"/>
      <c r="CE99" s="28"/>
      <c r="CF99" s="28"/>
      <c r="CG99" s="28"/>
      <c r="CH99" s="28"/>
      <c r="CI99" s="28"/>
      <c r="CJ99" s="28"/>
      <c r="CK99" s="35"/>
      <c r="CM99" s="44"/>
      <c r="CN99" s="50">
        <f t="shared" si="247"/>
        <v>0.4319681814909459</v>
      </c>
      <c r="CO99">
        <f t="shared" si="248"/>
        <v>0.4319681814909459</v>
      </c>
      <c r="CP99">
        <f t="shared" si="249"/>
        <v>0.4319681814909459</v>
      </c>
      <c r="CQ99">
        <f t="shared" si="250"/>
        <v>0.4319681814909459</v>
      </c>
      <c r="CR99">
        <f t="shared" si="251"/>
        <v>0.4319681814909459</v>
      </c>
      <c r="CS99">
        <f t="shared" si="252"/>
        <v>0.4319681814909459</v>
      </c>
      <c r="CT99">
        <f t="shared" si="253"/>
        <v>0.4319681814909459</v>
      </c>
      <c r="CU99">
        <f t="shared" si="254"/>
        <v>0.4319681814909459</v>
      </c>
      <c r="CV99">
        <f t="shared" si="255"/>
        <v>0.4319681814909459</v>
      </c>
      <c r="CW99">
        <f t="shared" si="256"/>
        <v>0.4319681814909459</v>
      </c>
      <c r="CX99">
        <f t="shared" si="257"/>
        <v>0.4319681814909459</v>
      </c>
      <c r="CY99">
        <f t="shared" si="258"/>
        <v>0.4319681814909459</v>
      </c>
      <c r="CZ99">
        <f t="shared" si="259"/>
        <v>0.4319681814909459</v>
      </c>
      <c r="DA99">
        <f t="shared" si="260"/>
        <v>0.4319681814909459</v>
      </c>
      <c r="DB99">
        <f t="shared" si="261"/>
        <v>0.4319681814909459</v>
      </c>
      <c r="DC99">
        <f t="shared" si="262"/>
        <v>0.4319681814909459</v>
      </c>
      <c r="DD99">
        <f t="shared" si="263"/>
        <v>0.40894158616793713</v>
      </c>
      <c r="DE99">
        <f t="shared" si="264"/>
        <v>0.40894158616793713</v>
      </c>
      <c r="DF99">
        <f t="shared" si="265"/>
        <v>0.40894158616793713</v>
      </c>
      <c r="DG99">
        <f t="shared" si="266"/>
        <v>0.40894158616793713</v>
      </c>
      <c r="DH99">
        <f t="shared" si="267"/>
        <v>0.40894158616793713</v>
      </c>
      <c r="DI99">
        <f t="shared" si="268"/>
        <v>0.40894158616793713</v>
      </c>
      <c r="DJ99">
        <f t="shared" si="269"/>
        <v>0.40894158616793713</v>
      </c>
      <c r="DK99">
        <f t="shared" si="270"/>
        <v>0.40894158616793713</v>
      </c>
      <c r="DL99">
        <f t="shared" si="271"/>
        <v>0.40894158616793713</v>
      </c>
      <c r="DM99" s="50">
        <f t="shared" si="272"/>
        <v>0.40894158616793713</v>
      </c>
      <c r="DN99" s="16"/>
      <c r="DO99" s="16"/>
      <c r="DP99" s="16"/>
      <c r="DQ99" s="16"/>
      <c r="DR99" s="16"/>
      <c r="DS99" s="28"/>
      <c r="DT99" s="28"/>
      <c r="DU99" s="28"/>
      <c r="DV99" s="28"/>
      <c r="DW99" s="28"/>
      <c r="DX99" s="28"/>
      <c r="DY99" s="28"/>
      <c r="DZ99" s="28"/>
      <c r="EA99" s="28"/>
      <c r="EB99" s="35"/>
      <c r="EC99" s="58">
        <f t="shared" si="273"/>
        <v>28</v>
      </c>
      <c r="ED99" s="44"/>
      <c r="EE99" s="52">
        <f t="shared" si="274"/>
        <v>198.81113647816895</v>
      </c>
      <c r="EF99" s="18">
        <f t="shared" si="274"/>
        <v>0</v>
      </c>
      <c r="EG99" s="18">
        <f t="shared" si="275"/>
        <v>0</v>
      </c>
      <c r="EH99" s="18">
        <f t="shared" si="276"/>
        <v>0</v>
      </c>
      <c r="EI99" s="18">
        <f t="shared" si="277"/>
        <v>0</v>
      </c>
      <c r="EJ99" s="18">
        <f t="shared" si="278"/>
        <v>0</v>
      </c>
      <c r="EK99" s="18">
        <f t="shared" si="279"/>
        <v>0</v>
      </c>
      <c r="EL99" s="18">
        <f t="shared" si="280"/>
        <v>0</v>
      </c>
      <c r="EM99" s="18">
        <f t="shared" si="281"/>
        <v>0</v>
      </c>
      <c r="EN99" s="18">
        <f t="shared" si="282"/>
        <v>0</v>
      </c>
      <c r="EO99" s="18">
        <f t="shared" si="283"/>
        <v>0</v>
      </c>
      <c r="EP99" s="18">
        <f t="shared" si="284"/>
        <v>0</v>
      </c>
      <c r="EQ99" s="18">
        <f t="shared" si="285"/>
        <v>0</v>
      </c>
      <c r="ER99" s="18">
        <f t="shared" si="286"/>
        <v>0</v>
      </c>
      <c r="ES99" s="18">
        <f t="shared" si="287"/>
        <v>0</v>
      </c>
      <c r="ET99" s="18">
        <f t="shared" si="288"/>
        <v>0</v>
      </c>
      <c r="EU99" s="18">
        <f t="shared" si="289"/>
        <v>0</v>
      </c>
      <c r="EV99" s="18">
        <f t="shared" si="290"/>
        <v>0</v>
      </c>
      <c r="EW99" s="18">
        <f t="shared" si="291"/>
        <v>0</v>
      </c>
      <c r="EX99" s="18">
        <f t="shared" si="292"/>
        <v>0</v>
      </c>
      <c r="EY99" s="18">
        <f t="shared" si="293"/>
        <v>0</v>
      </c>
      <c r="EZ99" s="18">
        <f t="shared" si="294"/>
        <v>0</v>
      </c>
      <c r="FA99" s="18">
        <f t="shared" si="295"/>
        <v>0</v>
      </c>
      <c r="FB99" s="18">
        <f t="shared" si="296"/>
        <v>0</v>
      </c>
      <c r="FC99" s="18">
        <f t="shared" si="297"/>
        <v>0</v>
      </c>
      <c r="FD99" s="52">
        <f t="shared" si="298"/>
        <v>0</v>
      </c>
      <c r="FE99" s="16"/>
      <c r="FF99" s="16"/>
      <c r="FG99" s="16"/>
      <c r="FH99" s="16"/>
      <c r="FI99" s="16"/>
      <c r="FJ99" s="28"/>
      <c r="FK99" s="28"/>
      <c r="FL99" s="28"/>
      <c r="FM99" s="28"/>
      <c r="FN99" s="28"/>
      <c r="FO99" s="28"/>
      <c r="FP99" s="28"/>
      <c r="FQ99" s="28"/>
      <c r="FR99" s="28"/>
      <c r="FS99" s="35"/>
    </row>
    <row r="100" spans="5:175">
      <c r="E100" s="48"/>
      <c r="F100" s="57">
        <f t="shared" si="324"/>
        <v>350</v>
      </c>
      <c r="G100">
        <f t="shared" si="299"/>
        <v>0</v>
      </c>
      <c r="H100">
        <f t="shared" si="300"/>
        <v>0</v>
      </c>
      <c r="I100">
        <f t="shared" si="301"/>
        <v>0</v>
      </c>
      <c r="J100">
        <f t="shared" si="302"/>
        <v>0</v>
      </c>
      <c r="K100">
        <f t="shared" si="303"/>
        <v>0</v>
      </c>
      <c r="L100">
        <f t="shared" si="304"/>
        <v>0</v>
      </c>
      <c r="M100">
        <f t="shared" si="305"/>
        <v>0</v>
      </c>
      <c r="N100">
        <f t="shared" si="306"/>
        <v>0</v>
      </c>
      <c r="O100">
        <f t="shared" si="307"/>
        <v>0</v>
      </c>
      <c r="P100">
        <f t="shared" si="308"/>
        <v>0</v>
      </c>
      <c r="Q100">
        <f t="shared" si="309"/>
        <v>0</v>
      </c>
      <c r="R100">
        <f t="shared" si="310"/>
        <v>0</v>
      </c>
      <c r="S100">
        <f t="shared" si="311"/>
        <v>0</v>
      </c>
      <c r="T100">
        <f t="shared" si="312"/>
        <v>0</v>
      </c>
      <c r="U100">
        <f t="shared" si="313"/>
        <v>0</v>
      </c>
      <c r="V100">
        <f t="shared" si="314"/>
        <v>0</v>
      </c>
      <c r="W100">
        <f t="shared" si="315"/>
        <v>0</v>
      </c>
      <c r="X100">
        <f t="shared" si="316"/>
        <v>0</v>
      </c>
      <c r="Y100">
        <f t="shared" si="317"/>
        <v>0</v>
      </c>
      <c r="Z100">
        <f t="shared" si="318"/>
        <v>0</v>
      </c>
      <c r="AA100">
        <f t="shared" si="319"/>
        <v>0</v>
      </c>
      <c r="AB100">
        <f t="shared" si="320"/>
        <v>0</v>
      </c>
      <c r="AC100">
        <f t="shared" si="321"/>
        <v>0</v>
      </c>
      <c r="AD100">
        <f t="shared" si="322"/>
        <v>0</v>
      </c>
      <c r="AE100" s="57">
        <f t="shared" si="322"/>
        <v>0</v>
      </c>
      <c r="AF100" s="16"/>
      <c r="AG100" s="16"/>
      <c r="AH100" s="16"/>
      <c r="AI100" s="16"/>
      <c r="AJ100" s="16"/>
      <c r="AK100" s="28"/>
      <c r="AL100" s="28"/>
      <c r="AM100" s="28"/>
      <c r="AN100" s="28"/>
      <c r="AO100" s="28"/>
      <c r="AP100" s="28"/>
      <c r="AQ100" s="28"/>
      <c r="AR100" s="28"/>
      <c r="AS100" s="28"/>
      <c r="AT100" s="35"/>
      <c r="AU100" s="58">
        <f t="shared" si="221"/>
        <v>27</v>
      </c>
      <c r="AV100" s="46"/>
      <c r="AW100" s="50">
        <f t="shared" si="323"/>
        <v>-1201970000</v>
      </c>
      <c r="AX100">
        <f t="shared" si="222"/>
        <v>-491535518.32627541</v>
      </c>
      <c r="AY100">
        <f t="shared" si="223"/>
        <v>-201009314.52222621</v>
      </c>
      <c r="AZ100">
        <f t="shared" si="224"/>
        <v>-82201067.91524896</v>
      </c>
      <c r="BA100">
        <f t="shared" si="225"/>
        <v>-33615435.097960241</v>
      </c>
      <c r="BB100">
        <f t="shared" si="226"/>
        <v>-13746749.348685214</v>
      </c>
      <c r="BC100">
        <f t="shared" si="227"/>
        <v>-5621617.4833044084</v>
      </c>
      <c r="BD100">
        <f t="shared" si="228"/>
        <v>-2298913.1704519605</v>
      </c>
      <c r="BE100">
        <f t="shared" si="229"/>
        <v>-940121.19838710595</v>
      </c>
      <c r="BF100">
        <f t="shared" si="230"/>
        <v>-384454.65405881801</v>
      </c>
      <c r="BG100">
        <f t="shared" si="231"/>
        <v>-157219.49604117507</v>
      </c>
      <c r="BH100">
        <f t="shared" si="232"/>
        <v>-64293.5900893539</v>
      </c>
      <c r="BI100">
        <f>-($C$16*$C$15/$C$13)*R58</f>
        <v>-26292.322715855888</v>
      </c>
      <c r="BJ100">
        <f t="shared" si="234"/>
        <v>-10752.024165938054</v>
      </c>
      <c r="BK100">
        <f t="shared" si="235"/>
        <v>-4396.9498425536722</v>
      </c>
      <c r="BL100">
        <f t="shared" si="236"/>
        <v>-1798.0957055617841</v>
      </c>
      <c r="BM100">
        <f t="shared" si="237"/>
        <v>-735.31626310727847</v>
      </c>
      <c r="BN100">
        <f t="shared" si="238"/>
        <v>-300.70177357889651</v>
      </c>
      <c r="BO100">
        <f t="shared" si="239"/>
        <v>-122.97037629545133</v>
      </c>
      <c r="BP100">
        <f t="shared" si="240"/>
        <v>-50.289940771667659</v>
      </c>
      <c r="BQ100">
        <f t="shared" si="241"/>
        <v>-20.571125794665335</v>
      </c>
      <c r="BR100">
        <f t="shared" si="242"/>
        <v>-8.4257835052350831</v>
      </c>
      <c r="BS100">
        <f t="shared" si="243"/>
        <v>-3.4784078112471994</v>
      </c>
      <c r="BT100">
        <f t="shared" si="244"/>
        <v>-1.5025614967083543</v>
      </c>
      <c r="BU100">
        <f t="shared" si="245"/>
        <v>-0.81032132445702887</v>
      </c>
      <c r="BV100" s="50">
        <f t="shared" si="246"/>
        <v>-0.81032132445702876</v>
      </c>
      <c r="BW100" s="16"/>
      <c r="BX100" s="16"/>
      <c r="BY100" s="16"/>
      <c r="BZ100" s="16"/>
      <c r="CA100" s="16"/>
      <c r="CB100" s="28"/>
      <c r="CC100" s="28"/>
      <c r="CD100" s="28"/>
      <c r="CE100" s="28"/>
      <c r="CF100" s="28"/>
      <c r="CG100" s="28"/>
      <c r="CH100" s="28"/>
      <c r="CI100" s="28"/>
      <c r="CJ100" s="28"/>
      <c r="CK100" s="35"/>
      <c r="CM100" s="44"/>
      <c r="CN100" s="50">
        <f>$C$20/($C$21-$C$22*CN101)</f>
        <v>0.539293284322932</v>
      </c>
      <c r="CO100">
        <f t="shared" si="248"/>
        <v>0.539293284322932</v>
      </c>
      <c r="CP100">
        <f t="shared" si="249"/>
        <v>0.539293284322932</v>
      </c>
      <c r="CQ100">
        <f t="shared" si="250"/>
        <v>0.539293284322932</v>
      </c>
      <c r="CR100">
        <f t="shared" si="251"/>
        <v>0.539293284322932</v>
      </c>
      <c r="CS100">
        <f t="shared" si="252"/>
        <v>0.539293284322932</v>
      </c>
      <c r="CT100">
        <f t="shared" si="253"/>
        <v>0.539293284322932</v>
      </c>
      <c r="CU100">
        <f t="shared" si="254"/>
        <v>0.539293284322932</v>
      </c>
      <c r="CV100">
        <f t="shared" si="255"/>
        <v>0.539293284322932</v>
      </c>
      <c r="CW100">
        <f t="shared" si="256"/>
        <v>0.539293284322932</v>
      </c>
      <c r="CX100">
        <f t="shared" si="257"/>
        <v>0.539293284322932</v>
      </c>
      <c r="CY100">
        <f t="shared" si="258"/>
        <v>0.539293284322932</v>
      </c>
      <c r="CZ100">
        <f t="shared" si="259"/>
        <v>0.539293284322932</v>
      </c>
      <c r="DA100">
        <f t="shared" si="260"/>
        <v>0.539293284322932</v>
      </c>
      <c r="DB100">
        <f t="shared" si="261"/>
        <v>0.539293284322932</v>
      </c>
      <c r="DC100">
        <f t="shared" si="262"/>
        <v>0.539293284322932</v>
      </c>
      <c r="DD100">
        <f t="shared" si="263"/>
        <v>0.40894158616793713</v>
      </c>
      <c r="DE100">
        <f t="shared" si="264"/>
        <v>0.40894158616793713</v>
      </c>
      <c r="DF100">
        <f t="shared" si="265"/>
        <v>0.40894158616793713</v>
      </c>
      <c r="DG100">
        <f t="shared" si="266"/>
        <v>0.40894158616793713</v>
      </c>
      <c r="DH100">
        <f t="shared" si="267"/>
        <v>0.40894158616793713</v>
      </c>
      <c r="DI100">
        <f t="shared" si="268"/>
        <v>0.40894158616793713</v>
      </c>
      <c r="DJ100">
        <f t="shared" si="269"/>
        <v>0.40894158616793713</v>
      </c>
      <c r="DK100">
        <f t="shared" si="270"/>
        <v>0.40894158616793713</v>
      </c>
      <c r="DL100">
        <f t="shared" si="271"/>
        <v>0.40894158616793713</v>
      </c>
      <c r="DM100" s="50">
        <f t="shared" si="272"/>
        <v>0.40894158616793713</v>
      </c>
      <c r="DN100" s="16"/>
      <c r="DO100" s="16"/>
      <c r="DP100" s="16"/>
      <c r="DQ100" s="16"/>
      <c r="DR100" s="16"/>
      <c r="DS100" s="28"/>
      <c r="DT100" s="28"/>
      <c r="DU100" s="28"/>
      <c r="DV100" s="28"/>
      <c r="DW100" s="28"/>
      <c r="DX100" s="28"/>
      <c r="DY100" s="28"/>
      <c r="DZ100" s="28"/>
      <c r="EA100" s="28"/>
      <c r="EB100" s="35"/>
      <c r="EC100" s="58">
        <f t="shared" si="273"/>
        <v>27</v>
      </c>
      <c r="ED100" s="44"/>
      <c r="EE100" s="52">
        <f>(EE101*$C$22-AW58)/($C$21-$C$22*CN101)</f>
        <v>161.2473504869738</v>
      </c>
      <c r="EF100" s="18">
        <f>(EF101*$C$22-AX58)/($C$21-$C$22*CO101)</f>
        <v>0</v>
      </c>
      <c r="EG100" s="18">
        <f t="shared" si="275"/>
        <v>0</v>
      </c>
      <c r="EH100" s="18">
        <f t="shared" si="276"/>
        <v>0</v>
      </c>
      <c r="EI100" s="18">
        <f t="shared" si="277"/>
        <v>0</v>
      </c>
      <c r="EJ100" s="18">
        <f t="shared" si="278"/>
        <v>0</v>
      </c>
      <c r="EK100" s="18">
        <f t="shared" si="279"/>
        <v>0</v>
      </c>
      <c r="EL100" s="18">
        <f t="shared" si="280"/>
        <v>0</v>
      </c>
      <c r="EM100" s="18">
        <f t="shared" si="281"/>
        <v>0</v>
      </c>
      <c r="EN100" s="18">
        <f t="shared" si="282"/>
        <v>0</v>
      </c>
      <c r="EO100" s="18">
        <f t="shared" si="283"/>
        <v>0</v>
      </c>
      <c r="EP100" s="18">
        <f t="shared" si="284"/>
        <v>0</v>
      </c>
      <c r="EQ100" s="18">
        <f t="shared" si="285"/>
        <v>0</v>
      </c>
      <c r="ER100" s="18">
        <f t="shared" si="286"/>
        <v>0</v>
      </c>
      <c r="ES100" s="18">
        <f t="shared" si="287"/>
        <v>0</v>
      </c>
      <c r="ET100" s="18">
        <f t="shared" si="288"/>
        <v>0</v>
      </c>
      <c r="EU100" s="18">
        <f t="shared" si="289"/>
        <v>0</v>
      </c>
      <c r="EV100" s="18">
        <f t="shared" si="290"/>
        <v>0</v>
      </c>
      <c r="EW100" s="18">
        <f t="shared" si="291"/>
        <v>0</v>
      </c>
      <c r="EX100" s="18">
        <f t="shared" si="292"/>
        <v>0</v>
      </c>
      <c r="EY100" s="18">
        <f t="shared" si="293"/>
        <v>0</v>
      </c>
      <c r="EZ100" s="18">
        <f t="shared" si="294"/>
        <v>0</v>
      </c>
      <c r="FA100" s="18">
        <f t="shared" si="295"/>
        <v>0</v>
      </c>
      <c r="FB100" s="18">
        <f t="shared" si="296"/>
        <v>0</v>
      </c>
      <c r="FC100" s="18">
        <f t="shared" si="297"/>
        <v>0</v>
      </c>
      <c r="FD100" s="52">
        <f t="shared" si="298"/>
        <v>0</v>
      </c>
      <c r="FE100" s="16"/>
      <c r="FF100" s="16"/>
      <c r="FG100" s="16"/>
      <c r="FH100" s="16"/>
      <c r="FI100" s="16"/>
      <c r="FJ100" s="28"/>
      <c r="FK100" s="28"/>
      <c r="FL100" s="28"/>
      <c r="FM100" s="28"/>
      <c r="FN100" s="28"/>
      <c r="FO100" s="28"/>
      <c r="FP100" s="28"/>
      <c r="FQ100" s="28"/>
      <c r="FR100" s="28"/>
      <c r="FS100" s="35"/>
    </row>
    <row r="101" spans="5:175">
      <c r="E101" s="48"/>
      <c r="F101" s="57">
        <f t="shared" ref="F87:F101" si="325">CN101*F100+EE101</f>
        <v>350</v>
      </c>
      <c r="G101" s="57">
        <f t="shared" si="299"/>
        <v>0</v>
      </c>
      <c r="H101" s="57">
        <f t="shared" si="300"/>
        <v>0</v>
      </c>
      <c r="I101" s="57">
        <f t="shared" si="301"/>
        <v>0</v>
      </c>
      <c r="J101" s="57">
        <f t="shared" si="302"/>
        <v>0</v>
      </c>
      <c r="K101" s="57">
        <f t="shared" si="303"/>
        <v>0</v>
      </c>
      <c r="L101" s="57">
        <f t="shared" si="304"/>
        <v>0</v>
      </c>
      <c r="M101" s="57">
        <f t="shared" si="305"/>
        <v>0</v>
      </c>
      <c r="N101" s="57">
        <f>CV101*N100+EM101</f>
        <v>0</v>
      </c>
      <c r="O101" s="57">
        <f t="shared" si="307"/>
        <v>0</v>
      </c>
      <c r="P101" s="57">
        <f t="shared" si="308"/>
        <v>0</v>
      </c>
      <c r="Q101" s="57">
        <f t="shared" si="309"/>
        <v>0</v>
      </c>
      <c r="R101" s="57">
        <f t="shared" si="310"/>
        <v>0</v>
      </c>
      <c r="S101" s="57">
        <f t="shared" si="311"/>
        <v>0</v>
      </c>
      <c r="T101" s="57">
        <f t="shared" si="312"/>
        <v>0</v>
      </c>
      <c r="U101" s="57">
        <f t="shared" si="313"/>
        <v>0</v>
      </c>
      <c r="V101">
        <f t="shared" si="314"/>
        <v>0</v>
      </c>
      <c r="W101">
        <f t="shared" si="315"/>
        <v>0</v>
      </c>
      <c r="X101">
        <f t="shared" si="316"/>
        <v>0</v>
      </c>
      <c r="Y101">
        <f t="shared" si="317"/>
        <v>0</v>
      </c>
      <c r="Z101">
        <f t="shared" si="318"/>
        <v>0</v>
      </c>
      <c r="AA101">
        <f t="shared" si="319"/>
        <v>0</v>
      </c>
      <c r="AB101">
        <f t="shared" si="320"/>
        <v>0</v>
      </c>
      <c r="AC101">
        <f t="shared" si="321"/>
        <v>0</v>
      </c>
      <c r="AD101">
        <f t="shared" si="322"/>
        <v>0</v>
      </c>
      <c r="AE101" s="57">
        <f t="shared" si="322"/>
        <v>0</v>
      </c>
      <c r="AF101" s="16"/>
      <c r="AG101" s="16"/>
      <c r="AH101" s="16"/>
      <c r="AI101" s="16"/>
      <c r="AJ101" s="16"/>
      <c r="AK101" s="28"/>
      <c r="AL101" s="28"/>
      <c r="AM101" s="28"/>
      <c r="AN101" s="28"/>
      <c r="AO101" s="28"/>
      <c r="AP101" s="28"/>
      <c r="AQ101" s="28"/>
      <c r="AR101" s="28"/>
      <c r="AS101" s="28"/>
      <c r="AT101" s="35"/>
      <c r="AU101" s="58">
        <f t="shared" si="221"/>
        <v>26</v>
      </c>
      <c r="AV101" s="46"/>
      <c r="AW101" s="50">
        <f t="shared" si="323"/>
        <v>-1201970000</v>
      </c>
      <c r="AX101" s="50">
        <f t="shared" si="222"/>
        <v>-491535518.3207978</v>
      </c>
      <c r="AY101" s="50">
        <f t="shared" si="223"/>
        <v>-201009314.5065915</v>
      </c>
      <c r="AZ101" s="50">
        <f t="shared" si="224"/>
        <v>-82201067.876100734</v>
      </c>
      <c r="BA101" s="50">
        <f t="shared" si="225"/>
        <v>-33615435.001855008</v>
      </c>
      <c r="BB101" s="50">
        <f t="shared" si="226"/>
        <v>-13746749.113522338</v>
      </c>
      <c r="BC101" s="50">
        <f t="shared" si="227"/>
        <v>-5621616.9081892716</v>
      </c>
      <c r="BD101" s="50">
        <f t="shared" si="228"/>
        <v>-2298911.7640760066</v>
      </c>
      <c r="BE101" s="50">
        <f t="shared" si="229"/>
        <v>-940117.75931344321</v>
      </c>
      <c r="BF101" s="50">
        <f t="shared" si="230"/>
        <v>-384446.24436038884</v>
      </c>
      <c r="BG101" s="50">
        <f t="shared" si="231"/>
        <v>-157198.93149252041</v>
      </c>
      <c r="BH101" s="50">
        <f t="shared" si="232"/>
        <v>-64243.302836496157</v>
      </c>
      <c r="BI101" s="50">
        <f t="shared" ref="BI101" si="326">-($C$16*$C$15/$C$13)*R59</f>
        <v>-26169.353434475644</v>
      </c>
      <c r="BJ101" s="50">
        <f t="shared" si="234"/>
        <v>-10451.322829638297</v>
      </c>
      <c r="BK101" s="50">
        <f t="shared" si="235"/>
        <v>-3661.6337326476746</v>
      </c>
      <c r="BL101">
        <f>-($C$16*$C$15/$C$13)*U59</f>
        <v>0</v>
      </c>
      <c r="BM101">
        <f t="shared" si="237"/>
        <v>0</v>
      </c>
      <c r="BN101">
        <f t="shared" si="238"/>
        <v>0</v>
      </c>
      <c r="BO101">
        <f t="shared" si="239"/>
        <v>0</v>
      </c>
      <c r="BP101">
        <f t="shared" si="240"/>
        <v>0</v>
      </c>
      <c r="BQ101">
        <f t="shared" si="241"/>
        <v>0</v>
      </c>
      <c r="BR101">
        <f t="shared" si="242"/>
        <v>0</v>
      </c>
      <c r="BS101">
        <f t="shared" si="243"/>
        <v>0</v>
      </c>
      <c r="BT101">
        <f t="shared" si="244"/>
        <v>0</v>
      </c>
      <c r="BU101">
        <f t="shared" si="245"/>
        <v>0</v>
      </c>
      <c r="BV101" s="50">
        <f t="shared" si="246"/>
        <v>0</v>
      </c>
      <c r="BW101" s="16"/>
      <c r="BX101" s="16"/>
      <c r="BY101" s="16"/>
      <c r="BZ101" s="16"/>
      <c r="CA101" s="16"/>
      <c r="CB101" s="28"/>
      <c r="CC101" s="28"/>
      <c r="CD101" s="28"/>
      <c r="CE101" s="28"/>
      <c r="CF101" s="28"/>
      <c r="CG101" s="28"/>
      <c r="CH101" s="28"/>
      <c r="CI101" s="28"/>
      <c r="CJ101" s="28"/>
      <c r="CK101" s="35"/>
      <c r="CM101" s="44"/>
      <c r="CN101" s="50">
        <v>1</v>
      </c>
      <c r="CO101" s="50">
        <v>1</v>
      </c>
      <c r="CP101" s="50">
        <v>1</v>
      </c>
      <c r="CQ101" s="50">
        <v>1</v>
      </c>
      <c r="CR101" s="50">
        <v>1</v>
      </c>
      <c r="CS101" s="50">
        <v>1</v>
      </c>
      <c r="CT101" s="50">
        <v>1</v>
      </c>
      <c r="CU101" s="50">
        <v>1</v>
      </c>
      <c r="CV101" s="50">
        <v>1</v>
      </c>
      <c r="CW101" s="50">
        <v>1</v>
      </c>
      <c r="CX101" s="50">
        <v>1</v>
      </c>
      <c r="CY101" s="50">
        <v>1</v>
      </c>
      <c r="CZ101" s="50">
        <v>1</v>
      </c>
      <c r="DA101" s="50">
        <v>1</v>
      </c>
      <c r="DB101" s="50">
        <v>1</v>
      </c>
      <c r="DC101" s="50">
        <v>1</v>
      </c>
      <c r="DD101">
        <f t="shared" ref="DC101:DD125" si="327">$C$20/($C$21-$C$22*DD102)</f>
        <v>0.40894158616793713</v>
      </c>
      <c r="DE101">
        <f t="shared" ref="DE101:DE125" si="328">$C$20/($C$21-$C$22*DE102)</f>
        <v>0.40894158616793713</v>
      </c>
      <c r="DF101">
        <f t="shared" ref="DF101:DF125" si="329">$C$20/($C$21-$C$22*DF102)</f>
        <v>0.40894158616793713</v>
      </c>
      <c r="DG101">
        <f t="shared" ref="DG101:DG125" si="330">$C$20/($C$21-$C$22*DG102)</f>
        <v>0.40894158616793713</v>
      </c>
      <c r="DH101">
        <f t="shared" ref="DH101:DH125" si="331">$C$20/($C$21-$C$22*DH102)</f>
        <v>0.40894158616793713</v>
      </c>
      <c r="DI101">
        <f t="shared" ref="DI101:DI125" si="332">$C$20/($C$21-$C$22*DI102)</f>
        <v>0.40894158616793713</v>
      </c>
      <c r="DJ101">
        <f t="shared" ref="DJ101:DJ125" si="333">$C$20/($C$21-$C$22*DJ102)</f>
        <v>0.40894158616793713</v>
      </c>
      <c r="DK101">
        <f t="shared" ref="DK101:DK125" si="334">$C$20/($C$21-$C$22*DK102)</f>
        <v>0.40894158616793713</v>
      </c>
      <c r="DL101">
        <f t="shared" ref="DL101:DL125" si="335">$C$20/($C$21-$C$22*DL102)</f>
        <v>0.40894158616793713</v>
      </c>
      <c r="DM101" s="50">
        <f t="shared" ref="DM101:DM125" si="336">$C$20/($C$21-$C$22*DM102)</f>
        <v>0.40894158616793713</v>
      </c>
      <c r="DN101" s="16"/>
      <c r="DO101" s="16"/>
      <c r="DP101" s="16"/>
      <c r="DQ101" s="16"/>
      <c r="DR101" s="16"/>
      <c r="DS101" s="28"/>
      <c r="DT101" s="28"/>
      <c r="DU101" s="28"/>
      <c r="DV101" s="28"/>
      <c r="DW101" s="28"/>
      <c r="DX101" s="28"/>
      <c r="DY101" s="28"/>
      <c r="DZ101" s="28"/>
      <c r="EA101" s="28"/>
      <c r="EB101" s="35"/>
      <c r="EC101" s="58">
        <f t="shared" si="273"/>
        <v>26</v>
      </c>
      <c r="ED101" s="44"/>
      <c r="EE101" s="50">
        <v>0</v>
      </c>
      <c r="EF101" s="52">
        <v>0</v>
      </c>
      <c r="EG101" s="52">
        <v>0</v>
      </c>
      <c r="EH101" s="52">
        <v>0</v>
      </c>
      <c r="EI101" s="52">
        <v>0</v>
      </c>
      <c r="EJ101" s="52">
        <v>0</v>
      </c>
      <c r="EK101" s="52">
        <v>0</v>
      </c>
      <c r="EL101" s="52">
        <v>0</v>
      </c>
      <c r="EM101" s="52">
        <v>0</v>
      </c>
      <c r="EN101" s="52">
        <v>0</v>
      </c>
      <c r="EO101" s="52">
        <v>0</v>
      </c>
      <c r="EP101" s="52">
        <v>0</v>
      </c>
      <c r="EQ101" s="52">
        <v>0</v>
      </c>
      <c r="ER101" s="52">
        <v>0</v>
      </c>
      <c r="ES101" s="52">
        <v>0</v>
      </c>
      <c r="ET101" s="52">
        <v>0</v>
      </c>
      <c r="EU101" s="18">
        <f t="shared" ref="ET101:EU125" si="337">(EU102*$C$22-BM59)/($C$21-$C$22*DD102)</f>
        <v>0</v>
      </c>
      <c r="EV101" s="18">
        <f t="shared" ref="EV101:EV125" si="338">(EV102*$C$22-BN59)/($C$21-$C$22*DE102)</f>
        <v>0</v>
      </c>
      <c r="EW101" s="18">
        <f t="shared" ref="EW101:EW125" si="339">(EW102*$C$22-BO59)/($C$21-$C$22*DF102)</f>
        <v>0</v>
      </c>
      <c r="EX101" s="18">
        <f t="shared" ref="EX101:EX125" si="340">(EX102*$C$22-BP59)/($C$21-$C$22*DG102)</f>
        <v>0</v>
      </c>
      <c r="EY101" s="18">
        <f t="shared" ref="EY101:EY125" si="341">(EY102*$C$22-BQ59)/($C$21-$C$22*DH102)</f>
        <v>0</v>
      </c>
      <c r="EZ101" s="18">
        <f t="shared" ref="EZ101:EZ125" si="342">(EZ102*$C$22-BR59)/($C$21-$C$22*DI102)</f>
        <v>0</v>
      </c>
      <c r="FA101" s="18">
        <f t="shared" ref="FA101:FA125" si="343">(FA102*$C$22-BS59)/($C$21-$C$22*DJ102)</f>
        <v>0</v>
      </c>
      <c r="FB101" s="18">
        <f t="shared" ref="FB101:FB125" si="344">(FB102*$C$22-BT59)/($C$21-$C$22*DK102)</f>
        <v>0</v>
      </c>
      <c r="FC101" s="18">
        <f t="shared" ref="FC101:FC125" si="345">(FC102*$C$22-BU59)/($C$21-$C$22*DL102)</f>
        <v>0</v>
      </c>
      <c r="FD101" s="52">
        <f t="shared" ref="FD101:FD125" si="346">(FD102*$C$22-BV59)/($C$21-$C$22*DM102)</f>
        <v>0</v>
      </c>
      <c r="FE101" s="16"/>
      <c r="FF101" s="16"/>
      <c r="FG101" s="16"/>
      <c r="FH101" s="16"/>
      <c r="FI101" s="16"/>
      <c r="FJ101" s="28"/>
      <c r="FK101" s="28"/>
      <c r="FL101" s="28"/>
      <c r="FM101" s="28"/>
      <c r="FN101" s="28"/>
      <c r="FO101" s="28"/>
      <c r="FP101" s="28"/>
      <c r="FQ101" s="28"/>
      <c r="FR101" s="28"/>
      <c r="FS101" s="35"/>
    </row>
    <row r="102" spans="5:175">
      <c r="E102" s="48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57">
        <f t="shared" ref="U87:U116" si="347">DC102*U101+ET102</f>
        <v>0</v>
      </c>
      <c r="V102">
        <f t="shared" ref="V87:V116" si="348">DD102*V101+EU102</f>
        <v>0</v>
      </c>
      <c r="W102">
        <f t="shared" si="315"/>
        <v>0</v>
      </c>
      <c r="X102">
        <f t="shared" si="316"/>
        <v>0</v>
      </c>
      <c r="Y102">
        <f t="shared" si="317"/>
        <v>0</v>
      </c>
      <c r="Z102">
        <f t="shared" si="318"/>
        <v>0</v>
      </c>
      <c r="AA102">
        <f t="shared" si="319"/>
        <v>0</v>
      </c>
      <c r="AB102">
        <f t="shared" si="320"/>
        <v>0</v>
      </c>
      <c r="AC102">
        <f t="shared" si="321"/>
        <v>0</v>
      </c>
      <c r="AD102">
        <f t="shared" si="322"/>
        <v>0</v>
      </c>
      <c r="AE102" s="57">
        <f t="shared" si="322"/>
        <v>0</v>
      </c>
      <c r="AF102" s="16"/>
      <c r="AG102" s="16"/>
      <c r="AH102" s="16"/>
      <c r="AI102" s="16"/>
      <c r="AJ102" s="16"/>
      <c r="AK102" s="28"/>
      <c r="AL102" s="28"/>
      <c r="AM102" s="28"/>
      <c r="AN102" s="28"/>
      <c r="AO102" s="28"/>
      <c r="AP102" s="28"/>
      <c r="AQ102" s="28"/>
      <c r="AR102" s="28"/>
      <c r="AS102" s="28"/>
      <c r="AT102" s="35"/>
      <c r="AU102" s="58">
        <f t="shared" si="221"/>
        <v>25</v>
      </c>
      <c r="AV102" s="4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50">
        <f t="shared" ref="BL102:BL126" si="349">-($C$16*$C$15/$C$13)*U60</f>
        <v>0</v>
      </c>
      <c r="BM102">
        <f t="shared" si="237"/>
        <v>0</v>
      </c>
      <c r="BN102">
        <f t="shared" si="238"/>
        <v>0</v>
      </c>
      <c r="BO102">
        <f t="shared" si="239"/>
        <v>0</v>
      </c>
      <c r="BP102">
        <f t="shared" si="240"/>
        <v>0</v>
      </c>
      <c r="BQ102">
        <f t="shared" si="241"/>
        <v>0</v>
      </c>
      <c r="BR102">
        <f t="shared" si="242"/>
        <v>0</v>
      </c>
      <c r="BS102">
        <f t="shared" si="243"/>
        <v>0</v>
      </c>
      <c r="BT102">
        <f t="shared" si="244"/>
        <v>0</v>
      </c>
      <c r="BU102">
        <f t="shared" si="245"/>
        <v>0</v>
      </c>
      <c r="BV102" s="50">
        <f t="shared" si="246"/>
        <v>0</v>
      </c>
      <c r="BW102" s="16"/>
      <c r="BX102" s="16"/>
      <c r="BY102" s="16"/>
      <c r="BZ102" s="16"/>
      <c r="CA102" s="16"/>
      <c r="CB102" s="28"/>
      <c r="CC102" s="28"/>
      <c r="CD102" s="28"/>
      <c r="CE102" s="28"/>
      <c r="CF102" s="28"/>
      <c r="CG102" s="28"/>
      <c r="CH102" s="28"/>
      <c r="CI102" s="28"/>
      <c r="CJ102" s="28"/>
      <c r="CK102" s="35"/>
      <c r="CM102" s="44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50">
        <f t="shared" si="327"/>
        <v>0.40894158616793713</v>
      </c>
      <c r="DD102">
        <f t="shared" si="327"/>
        <v>0.40894158616793713</v>
      </c>
      <c r="DE102">
        <f t="shared" si="328"/>
        <v>0.40894158616793713</v>
      </c>
      <c r="DF102">
        <f t="shared" si="329"/>
        <v>0.40894158616793713</v>
      </c>
      <c r="DG102">
        <f t="shared" si="330"/>
        <v>0.40894158616793713</v>
      </c>
      <c r="DH102">
        <f t="shared" si="331"/>
        <v>0.40894158616793713</v>
      </c>
      <c r="DI102">
        <f t="shared" si="332"/>
        <v>0.40894158616793713</v>
      </c>
      <c r="DJ102">
        <f t="shared" si="333"/>
        <v>0.40894158616793713</v>
      </c>
      <c r="DK102">
        <f t="shared" si="334"/>
        <v>0.40894158616793713</v>
      </c>
      <c r="DL102">
        <f t="shared" si="335"/>
        <v>0.40894158616793713</v>
      </c>
      <c r="DM102" s="50">
        <f t="shared" si="336"/>
        <v>0.40894158616793713</v>
      </c>
      <c r="DN102" s="16"/>
      <c r="DO102" s="16"/>
      <c r="DP102" s="16"/>
      <c r="DQ102" s="16"/>
      <c r="DR102" s="16"/>
      <c r="DS102" s="28"/>
      <c r="DT102" s="28"/>
      <c r="DU102" s="28"/>
      <c r="DV102" s="28"/>
      <c r="DW102" s="28"/>
      <c r="DX102" s="28"/>
      <c r="DY102" s="28"/>
      <c r="DZ102" s="28"/>
      <c r="EA102" s="28"/>
      <c r="EB102" s="35"/>
      <c r="EC102" s="58">
        <f t="shared" si="273"/>
        <v>25</v>
      </c>
      <c r="ED102" s="44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52">
        <f t="shared" si="337"/>
        <v>0</v>
      </c>
      <c r="EU102" s="18">
        <f t="shared" si="337"/>
        <v>0</v>
      </c>
      <c r="EV102" s="18">
        <f t="shared" si="338"/>
        <v>0</v>
      </c>
      <c r="EW102" s="18">
        <f t="shared" si="339"/>
        <v>0</v>
      </c>
      <c r="EX102" s="18">
        <f t="shared" si="340"/>
        <v>0</v>
      </c>
      <c r="EY102" s="18">
        <f t="shared" si="341"/>
        <v>0</v>
      </c>
      <c r="EZ102" s="18">
        <f t="shared" si="342"/>
        <v>0</v>
      </c>
      <c r="FA102" s="18">
        <f t="shared" si="343"/>
        <v>0</v>
      </c>
      <c r="FB102" s="18">
        <f t="shared" si="344"/>
        <v>0</v>
      </c>
      <c r="FC102" s="18">
        <f t="shared" si="345"/>
        <v>0</v>
      </c>
      <c r="FD102" s="52">
        <f t="shared" si="346"/>
        <v>0</v>
      </c>
      <c r="FE102" s="16"/>
      <c r="FF102" s="16"/>
      <c r="FG102" s="16"/>
      <c r="FH102" s="16"/>
      <c r="FI102" s="16"/>
      <c r="FJ102" s="28"/>
      <c r="FK102" s="28"/>
      <c r="FL102" s="28"/>
      <c r="FM102" s="28"/>
      <c r="FN102" s="28"/>
      <c r="FO102" s="28"/>
      <c r="FP102" s="28"/>
      <c r="FQ102" s="28"/>
      <c r="FR102" s="28"/>
      <c r="FS102" s="35"/>
    </row>
    <row r="103" spans="5:175">
      <c r="E103" s="48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57">
        <f t="shared" si="347"/>
        <v>0</v>
      </c>
      <c r="V103">
        <f t="shared" si="348"/>
        <v>0</v>
      </c>
      <c r="W103">
        <f t="shared" si="315"/>
        <v>0</v>
      </c>
      <c r="X103">
        <f t="shared" si="316"/>
        <v>0</v>
      </c>
      <c r="Y103">
        <f t="shared" si="317"/>
        <v>0</v>
      </c>
      <c r="Z103">
        <f t="shared" si="318"/>
        <v>0</v>
      </c>
      <c r="AA103">
        <f t="shared" si="319"/>
        <v>0</v>
      </c>
      <c r="AB103">
        <f t="shared" si="320"/>
        <v>0</v>
      </c>
      <c r="AC103">
        <f t="shared" si="321"/>
        <v>0</v>
      </c>
      <c r="AD103">
        <f t="shared" si="322"/>
        <v>0</v>
      </c>
      <c r="AE103" s="57">
        <f t="shared" si="322"/>
        <v>0</v>
      </c>
      <c r="AF103" s="16"/>
      <c r="AG103" s="16"/>
      <c r="AH103" s="16"/>
      <c r="AI103" s="16"/>
      <c r="AJ103" s="16"/>
      <c r="AK103" s="28"/>
      <c r="AL103" s="28"/>
      <c r="AM103" s="28"/>
      <c r="AN103" s="28"/>
      <c r="AO103" s="28"/>
      <c r="AP103" s="28"/>
      <c r="AQ103" s="28"/>
      <c r="AR103" s="28"/>
      <c r="AS103" s="28"/>
      <c r="AT103" s="35"/>
      <c r="AU103" s="58">
        <f t="shared" si="221"/>
        <v>24</v>
      </c>
      <c r="AV103" s="4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50">
        <f t="shared" si="349"/>
        <v>0</v>
      </c>
      <c r="BM103">
        <f t="shared" si="237"/>
        <v>0</v>
      </c>
      <c r="BN103">
        <f t="shared" si="238"/>
        <v>0</v>
      </c>
      <c r="BO103">
        <f t="shared" si="239"/>
        <v>0</v>
      </c>
      <c r="BP103">
        <f t="shared" si="240"/>
        <v>0</v>
      </c>
      <c r="BQ103">
        <f t="shared" si="241"/>
        <v>0</v>
      </c>
      <c r="BR103">
        <f t="shared" si="242"/>
        <v>0</v>
      </c>
      <c r="BS103">
        <f t="shared" si="243"/>
        <v>0</v>
      </c>
      <c r="BT103">
        <f t="shared" si="244"/>
        <v>0</v>
      </c>
      <c r="BU103">
        <f t="shared" si="245"/>
        <v>0</v>
      </c>
      <c r="BV103" s="50">
        <f t="shared" si="246"/>
        <v>0</v>
      </c>
      <c r="BW103" s="16"/>
      <c r="BX103" s="16"/>
      <c r="BY103" s="16"/>
      <c r="BZ103" s="16"/>
      <c r="CA103" s="16"/>
      <c r="CB103" s="28"/>
      <c r="CC103" s="28"/>
      <c r="CD103" s="28"/>
      <c r="CE103" s="28"/>
      <c r="CF103" s="28"/>
      <c r="CG103" s="28"/>
      <c r="CH103" s="28"/>
      <c r="CI103" s="28"/>
      <c r="CJ103" s="28"/>
      <c r="CK103" s="35"/>
      <c r="CM103" s="44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50">
        <f t="shared" si="327"/>
        <v>0.40894158616793713</v>
      </c>
      <c r="DD103">
        <f t="shared" si="327"/>
        <v>0.40894158616793713</v>
      </c>
      <c r="DE103">
        <f t="shared" si="328"/>
        <v>0.40894158616793713</v>
      </c>
      <c r="DF103">
        <f t="shared" si="329"/>
        <v>0.40894158616793713</v>
      </c>
      <c r="DG103">
        <f t="shared" si="330"/>
        <v>0.40894158616793713</v>
      </c>
      <c r="DH103">
        <f t="shared" si="331"/>
        <v>0.40894158616793713</v>
      </c>
      <c r="DI103">
        <f t="shared" si="332"/>
        <v>0.40894158616793713</v>
      </c>
      <c r="DJ103">
        <f t="shared" si="333"/>
        <v>0.40894158616793713</v>
      </c>
      <c r="DK103">
        <f t="shared" si="334"/>
        <v>0.40894158616793713</v>
      </c>
      <c r="DL103">
        <f t="shared" si="335"/>
        <v>0.40894158616793713</v>
      </c>
      <c r="DM103" s="50">
        <f t="shared" si="336"/>
        <v>0.40894158616793713</v>
      </c>
      <c r="DN103" s="16"/>
      <c r="DO103" s="16"/>
      <c r="DP103" s="16"/>
      <c r="DQ103" s="16"/>
      <c r="DR103" s="16"/>
      <c r="DS103" s="28"/>
      <c r="DT103" s="28"/>
      <c r="DU103" s="28"/>
      <c r="DV103" s="28"/>
      <c r="DW103" s="28"/>
      <c r="DX103" s="28"/>
      <c r="DY103" s="28"/>
      <c r="DZ103" s="28"/>
      <c r="EA103" s="28"/>
      <c r="EB103" s="35"/>
      <c r="EC103" s="58">
        <f t="shared" si="273"/>
        <v>24</v>
      </c>
      <c r="ED103" s="44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52">
        <f t="shared" si="337"/>
        <v>0</v>
      </c>
      <c r="EU103" s="18">
        <f t="shared" si="337"/>
        <v>0</v>
      </c>
      <c r="EV103" s="18">
        <f t="shared" si="338"/>
        <v>0</v>
      </c>
      <c r="EW103" s="18">
        <f t="shared" si="339"/>
        <v>0</v>
      </c>
      <c r="EX103" s="18">
        <f t="shared" si="340"/>
        <v>0</v>
      </c>
      <c r="EY103" s="18">
        <f t="shared" si="341"/>
        <v>0</v>
      </c>
      <c r="EZ103" s="18">
        <f t="shared" si="342"/>
        <v>0</v>
      </c>
      <c r="FA103" s="18">
        <f t="shared" si="343"/>
        <v>0</v>
      </c>
      <c r="FB103" s="18">
        <f t="shared" si="344"/>
        <v>0</v>
      </c>
      <c r="FC103" s="18">
        <f t="shared" si="345"/>
        <v>0</v>
      </c>
      <c r="FD103" s="52">
        <f t="shared" si="346"/>
        <v>0</v>
      </c>
      <c r="FE103" s="16"/>
      <c r="FF103" s="16"/>
      <c r="FG103" s="16"/>
      <c r="FH103" s="16"/>
      <c r="FI103" s="16"/>
      <c r="FJ103" s="28"/>
      <c r="FK103" s="28"/>
      <c r="FL103" s="28"/>
      <c r="FM103" s="28"/>
      <c r="FN103" s="28"/>
      <c r="FO103" s="28"/>
      <c r="FP103" s="28"/>
      <c r="FQ103" s="28"/>
      <c r="FR103" s="28"/>
      <c r="FS103" s="35"/>
    </row>
    <row r="104" spans="5:175">
      <c r="E104" s="48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57">
        <f t="shared" si="347"/>
        <v>0</v>
      </c>
      <c r="V104">
        <f t="shared" si="348"/>
        <v>0</v>
      </c>
      <c r="W104">
        <f t="shared" si="315"/>
        <v>0</v>
      </c>
      <c r="X104">
        <f t="shared" si="316"/>
        <v>0</v>
      </c>
      <c r="Y104">
        <f t="shared" si="317"/>
        <v>0</v>
      </c>
      <c r="Z104">
        <f t="shared" si="318"/>
        <v>0</v>
      </c>
      <c r="AA104">
        <f t="shared" si="319"/>
        <v>0</v>
      </c>
      <c r="AB104">
        <f t="shared" si="320"/>
        <v>0</v>
      </c>
      <c r="AC104">
        <f t="shared" si="321"/>
        <v>0</v>
      </c>
      <c r="AD104">
        <f t="shared" si="322"/>
        <v>0</v>
      </c>
      <c r="AE104" s="57">
        <f t="shared" si="322"/>
        <v>0</v>
      </c>
      <c r="AF104" s="16"/>
      <c r="AG104" s="16"/>
      <c r="AH104" s="16"/>
      <c r="AI104" s="16"/>
      <c r="AJ104" s="16"/>
      <c r="AK104" s="28"/>
      <c r="AL104" s="28"/>
      <c r="AM104" s="28"/>
      <c r="AN104" s="28"/>
      <c r="AO104" s="28"/>
      <c r="AP104" s="28"/>
      <c r="AQ104" s="28"/>
      <c r="AR104" s="28"/>
      <c r="AS104" s="28"/>
      <c r="AT104" s="35"/>
      <c r="AU104" s="58">
        <f t="shared" si="221"/>
        <v>23</v>
      </c>
      <c r="AV104" s="4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50">
        <f t="shared" si="349"/>
        <v>0</v>
      </c>
      <c r="BM104">
        <f t="shared" si="237"/>
        <v>0</v>
      </c>
      <c r="BN104">
        <f t="shared" si="238"/>
        <v>0</v>
      </c>
      <c r="BO104">
        <f t="shared" si="239"/>
        <v>0</v>
      </c>
      <c r="BP104">
        <f t="shared" si="240"/>
        <v>0</v>
      </c>
      <c r="BQ104">
        <f t="shared" si="241"/>
        <v>0</v>
      </c>
      <c r="BR104">
        <f t="shared" si="242"/>
        <v>0</v>
      </c>
      <c r="BS104">
        <f t="shared" si="243"/>
        <v>0</v>
      </c>
      <c r="BT104">
        <f t="shared" si="244"/>
        <v>0</v>
      </c>
      <c r="BU104">
        <f t="shared" si="245"/>
        <v>0</v>
      </c>
      <c r="BV104" s="50">
        <f t="shared" si="246"/>
        <v>0</v>
      </c>
      <c r="BW104" s="16"/>
      <c r="BX104" s="16"/>
      <c r="BY104" s="16"/>
      <c r="BZ104" s="16"/>
      <c r="CA104" s="16"/>
      <c r="CB104" s="28"/>
      <c r="CC104" s="28"/>
      <c r="CD104" s="28"/>
      <c r="CE104" s="28"/>
      <c r="CF104" s="28"/>
      <c r="CG104" s="28"/>
      <c r="CH104" s="28"/>
      <c r="CI104" s="28"/>
      <c r="CJ104" s="28"/>
      <c r="CK104" s="35"/>
      <c r="CM104" s="44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50">
        <f t="shared" si="327"/>
        <v>0.40894158616793713</v>
      </c>
      <c r="DD104">
        <f t="shared" si="327"/>
        <v>0.40894158616793713</v>
      </c>
      <c r="DE104">
        <f t="shared" si="328"/>
        <v>0.40894158616793713</v>
      </c>
      <c r="DF104">
        <f t="shared" si="329"/>
        <v>0.40894158616793713</v>
      </c>
      <c r="DG104">
        <f t="shared" si="330"/>
        <v>0.40894158616793713</v>
      </c>
      <c r="DH104">
        <f t="shared" si="331"/>
        <v>0.40894158616793713</v>
      </c>
      <c r="DI104">
        <f t="shared" si="332"/>
        <v>0.40894158616793713</v>
      </c>
      <c r="DJ104">
        <f t="shared" si="333"/>
        <v>0.40894158616793713</v>
      </c>
      <c r="DK104">
        <f t="shared" si="334"/>
        <v>0.40894158616793713</v>
      </c>
      <c r="DL104">
        <f t="shared" si="335"/>
        <v>0.40894158616793713</v>
      </c>
      <c r="DM104" s="50">
        <f t="shared" si="336"/>
        <v>0.40894158616793713</v>
      </c>
      <c r="DN104" s="16"/>
      <c r="DO104" s="16"/>
      <c r="DP104" s="16"/>
      <c r="DQ104" s="16"/>
      <c r="DR104" s="16"/>
      <c r="DS104" s="28"/>
      <c r="DT104" s="28"/>
      <c r="DU104" s="28"/>
      <c r="DV104" s="28"/>
      <c r="DW104" s="28"/>
      <c r="DX104" s="28"/>
      <c r="DY104" s="28"/>
      <c r="DZ104" s="28"/>
      <c r="EA104" s="28"/>
      <c r="EB104" s="35"/>
      <c r="EC104" s="58">
        <f t="shared" si="273"/>
        <v>23</v>
      </c>
      <c r="ED104" s="44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52">
        <f t="shared" si="337"/>
        <v>0</v>
      </c>
      <c r="EU104" s="18">
        <f t="shared" si="337"/>
        <v>0</v>
      </c>
      <c r="EV104" s="18">
        <f t="shared" si="338"/>
        <v>0</v>
      </c>
      <c r="EW104" s="18">
        <f t="shared" si="339"/>
        <v>0</v>
      </c>
      <c r="EX104" s="18">
        <f t="shared" si="340"/>
        <v>0</v>
      </c>
      <c r="EY104" s="18">
        <f t="shared" si="341"/>
        <v>0</v>
      </c>
      <c r="EZ104" s="18">
        <f t="shared" si="342"/>
        <v>0</v>
      </c>
      <c r="FA104" s="18">
        <f t="shared" si="343"/>
        <v>0</v>
      </c>
      <c r="FB104" s="18">
        <f t="shared" si="344"/>
        <v>0</v>
      </c>
      <c r="FC104" s="18">
        <f t="shared" si="345"/>
        <v>0</v>
      </c>
      <c r="FD104" s="52">
        <f t="shared" si="346"/>
        <v>0</v>
      </c>
      <c r="FE104" s="16"/>
      <c r="FF104" s="16"/>
      <c r="FG104" s="16"/>
      <c r="FH104" s="16"/>
      <c r="FI104" s="16"/>
      <c r="FJ104" s="28"/>
      <c r="FK104" s="28"/>
      <c r="FL104" s="28"/>
      <c r="FM104" s="28"/>
      <c r="FN104" s="28"/>
      <c r="FO104" s="28"/>
      <c r="FP104" s="28"/>
      <c r="FQ104" s="28"/>
      <c r="FR104" s="28"/>
      <c r="FS104" s="35"/>
    </row>
    <row r="105" spans="5:175">
      <c r="E105" s="48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57">
        <f t="shared" si="347"/>
        <v>0</v>
      </c>
      <c r="V105">
        <f t="shared" si="348"/>
        <v>0</v>
      </c>
      <c r="W105">
        <f t="shared" si="315"/>
        <v>0</v>
      </c>
      <c r="X105">
        <f t="shared" si="316"/>
        <v>0</v>
      </c>
      <c r="Y105">
        <f t="shared" si="317"/>
        <v>0</v>
      </c>
      <c r="Z105">
        <f t="shared" si="318"/>
        <v>0</v>
      </c>
      <c r="AA105">
        <f t="shared" si="319"/>
        <v>0</v>
      </c>
      <c r="AB105">
        <f t="shared" si="320"/>
        <v>0</v>
      </c>
      <c r="AC105">
        <f t="shared" si="321"/>
        <v>0</v>
      </c>
      <c r="AD105">
        <f t="shared" si="322"/>
        <v>0</v>
      </c>
      <c r="AE105" s="57">
        <f t="shared" si="322"/>
        <v>0</v>
      </c>
      <c r="AF105" s="16"/>
      <c r="AG105" s="16"/>
      <c r="AH105" s="16"/>
      <c r="AI105" s="16"/>
      <c r="AJ105" s="16"/>
      <c r="AK105" s="28"/>
      <c r="AL105" s="28"/>
      <c r="AM105" s="28"/>
      <c r="AN105" s="28"/>
      <c r="AO105" s="28"/>
      <c r="AP105" s="28"/>
      <c r="AQ105" s="28"/>
      <c r="AR105" s="28"/>
      <c r="AS105" s="28"/>
      <c r="AT105" s="35"/>
      <c r="AU105" s="58">
        <f t="shared" si="221"/>
        <v>22</v>
      </c>
      <c r="AV105" s="4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50">
        <f t="shared" si="349"/>
        <v>0</v>
      </c>
      <c r="BM105">
        <f t="shared" si="237"/>
        <v>0</v>
      </c>
      <c r="BN105">
        <f t="shared" si="238"/>
        <v>0</v>
      </c>
      <c r="BO105">
        <f t="shared" si="239"/>
        <v>0</v>
      </c>
      <c r="BP105">
        <f t="shared" si="240"/>
        <v>0</v>
      </c>
      <c r="BQ105">
        <f t="shared" si="241"/>
        <v>0</v>
      </c>
      <c r="BR105">
        <f t="shared" si="242"/>
        <v>0</v>
      </c>
      <c r="BS105">
        <f t="shared" si="243"/>
        <v>0</v>
      </c>
      <c r="BT105">
        <f t="shared" si="244"/>
        <v>0</v>
      </c>
      <c r="BU105">
        <f t="shared" si="245"/>
        <v>0</v>
      </c>
      <c r="BV105" s="50">
        <f t="shared" si="246"/>
        <v>0</v>
      </c>
      <c r="BW105" s="16"/>
      <c r="BX105" s="16"/>
      <c r="BY105" s="16"/>
      <c r="BZ105" s="16"/>
      <c r="CA105" s="16"/>
      <c r="CB105" s="28"/>
      <c r="CC105" s="28"/>
      <c r="CD105" s="28"/>
      <c r="CE105" s="28"/>
      <c r="CF105" s="28"/>
      <c r="CG105" s="28"/>
      <c r="CH105" s="28"/>
      <c r="CI105" s="28"/>
      <c r="CJ105" s="28"/>
      <c r="CK105" s="35"/>
      <c r="CM105" s="44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50">
        <f t="shared" si="327"/>
        <v>0.40894158616793719</v>
      </c>
      <c r="DD105">
        <f t="shared" si="327"/>
        <v>0.40894158616793719</v>
      </c>
      <c r="DE105">
        <f t="shared" si="328"/>
        <v>0.40894158616793719</v>
      </c>
      <c r="DF105">
        <f t="shared" si="329"/>
        <v>0.40894158616793719</v>
      </c>
      <c r="DG105">
        <f t="shared" si="330"/>
        <v>0.40894158616793719</v>
      </c>
      <c r="DH105">
        <f t="shared" si="331"/>
        <v>0.40894158616793719</v>
      </c>
      <c r="DI105">
        <f t="shared" si="332"/>
        <v>0.40894158616793719</v>
      </c>
      <c r="DJ105">
        <f t="shared" si="333"/>
        <v>0.40894158616793719</v>
      </c>
      <c r="DK105">
        <f t="shared" si="334"/>
        <v>0.40894158616793719</v>
      </c>
      <c r="DL105">
        <f t="shared" si="335"/>
        <v>0.40894158616793719</v>
      </c>
      <c r="DM105" s="50">
        <f t="shared" si="336"/>
        <v>0.40894158616793719</v>
      </c>
      <c r="DN105" s="16"/>
      <c r="DO105" s="16"/>
      <c r="DP105" s="16"/>
      <c r="DQ105" s="16"/>
      <c r="DR105" s="16"/>
      <c r="DS105" s="28"/>
      <c r="DT105" s="28"/>
      <c r="DU105" s="28"/>
      <c r="DV105" s="28"/>
      <c r="DW105" s="28"/>
      <c r="DX105" s="28"/>
      <c r="DY105" s="28"/>
      <c r="DZ105" s="28"/>
      <c r="EA105" s="28"/>
      <c r="EB105" s="35"/>
      <c r="EC105" s="58">
        <f t="shared" si="273"/>
        <v>22</v>
      </c>
      <c r="ED105" s="44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52">
        <f t="shared" si="337"/>
        <v>0</v>
      </c>
      <c r="EU105" s="18">
        <f t="shared" si="337"/>
        <v>0</v>
      </c>
      <c r="EV105" s="18">
        <f t="shared" si="338"/>
        <v>0</v>
      </c>
      <c r="EW105" s="18">
        <f t="shared" si="339"/>
        <v>0</v>
      </c>
      <c r="EX105" s="18">
        <f t="shared" si="340"/>
        <v>0</v>
      </c>
      <c r="EY105" s="18">
        <f t="shared" si="341"/>
        <v>0</v>
      </c>
      <c r="EZ105" s="18">
        <f t="shared" si="342"/>
        <v>0</v>
      </c>
      <c r="FA105" s="18">
        <f t="shared" si="343"/>
        <v>0</v>
      </c>
      <c r="FB105" s="18">
        <f t="shared" si="344"/>
        <v>0</v>
      </c>
      <c r="FC105" s="18">
        <f t="shared" si="345"/>
        <v>0</v>
      </c>
      <c r="FD105" s="52">
        <f t="shared" si="346"/>
        <v>0</v>
      </c>
      <c r="FE105" s="16"/>
      <c r="FF105" s="16"/>
      <c r="FG105" s="16"/>
      <c r="FH105" s="16"/>
      <c r="FI105" s="16"/>
      <c r="FJ105" s="28"/>
      <c r="FK105" s="28"/>
      <c r="FL105" s="28"/>
      <c r="FM105" s="28"/>
      <c r="FN105" s="28"/>
      <c r="FO105" s="28"/>
      <c r="FP105" s="28"/>
      <c r="FQ105" s="28"/>
      <c r="FR105" s="28"/>
      <c r="FS105" s="35"/>
    </row>
    <row r="106" spans="5:175">
      <c r="E106" s="48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57">
        <f t="shared" si="347"/>
        <v>0</v>
      </c>
      <c r="V106">
        <f t="shared" si="348"/>
        <v>0</v>
      </c>
      <c r="W106">
        <f t="shared" si="315"/>
        <v>0</v>
      </c>
      <c r="X106">
        <f t="shared" si="316"/>
        <v>0</v>
      </c>
      <c r="Y106">
        <f t="shared" si="317"/>
        <v>0</v>
      </c>
      <c r="Z106">
        <f t="shared" si="318"/>
        <v>0</v>
      </c>
      <c r="AA106">
        <f t="shared" si="319"/>
        <v>0</v>
      </c>
      <c r="AB106">
        <f t="shared" si="320"/>
        <v>0</v>
      </c>
      <c r="AC106">
        <f t="shared" si="321"/>
        <v>0</v>
      </c>
      <c r="AD106">
        <f t="shared" si="322"/>
        <v>0</v>
      </c>
      <c r="AE106" s="57">
        <f t="shared" si="322"/>
        <v>0</v>
      </c>
      <c r="AF106" s="16"/>
      <c r="AG106" s="16"/>
      <c r="AH106" s="16"/>
      <c r="AI106" s="16"/>
      <c r="AJ106" s="16"/>
      <c r="AK106" s="28"/>
      <c r="AL106" s="28"/>
      <c r="AM106" s="28"/>
      <c r="AN106" s="28"/>
      <c r="AO106" s="28"/>
      <c r="AP106" s="28"/>
      <c r="AQ106" s="28"/>
      <c r="AR106" s="28"/>
      <c r="AS106" s="28"/>
      <c r="AT106" s="35"/>
      <c r="AU106" s="58">
        <f t="shared" si="221"/>
        <v>21</v>
      </c>
      <c r="AV106" s="4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50">
        <f t="shared" si="349"/>
        <v>0</v>
      </c>
      <c r="BM106">
        <f t="shared" si="237"/>
        <v>0</v>
      </c>
      <c r="BN106">
        <f t="shared" si="238"/>
        <v>0</v>
      </c>
      <c r="BO106">
        <f t="shared" si="239"/>
        <v>0</v>
      </c>
      <c r="BP106">
        <f t="shared" si="240"/>
        <v>0</v>
      </c>
      <c r="BQ106">
        <f t="shared" si="241"/>
        <v>0</v>
      </c>
      <c r="BR106">
        <f t="shared" si="242"/>
        <v>0</v>
      </c>
      <c r="BS106">
        <f t="shared" si="243"/>
        <v>0</v>
      </c>
      <c r="BT106">
        <f t="shared" si="244"/>
        <v>0</v>
      </c>
      <c r="BU106">
        <f t="shared" si="245"/>
        <v>0</v>
      </c>
      <c r="BV106" s="50">
        <f t="shared" si="246"/>
        <v>0</v>
      </c>
      <c r="BW106" s="16"/>
      <c r="BX106" s="16"/>
      <c r="BY106" s="16"/>
      <c r="BZ106" s="16"/>
      <c r="CA106" s="16"/>
      <c r="CB106" s="28"/>
      <c r="CC106" s="28"/>
      <c r="CD106" s="28"/>
      <c r="CE106" s="28"/>
      <c r="CF106" s="28"/>
      <c r="CG106" s="28"/>
      <c r="CH106" s="28"/>
      <c r="CI106" s="28"/>
      <c r="CJ106" s="28"/>
      <c r="CK106" s="35"/>
      <c r="CM106" s="44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50">
        <f t="shared" si="327"/>
        <v>0.40894158616793735</v>
      </c>
      <c r="DD106">
        <f t="shared" si="327"/>
        <v>0.40894158616793735</v>
      </c>
      <c r="DE106">
        <f t="shared" si="328"/>
        <v>0.40894158616793735</v>
      </c>
      <c r="DF106">
        <f t="shared" si="329"/>
        <v>0.40894158616793735</v>
      </c>
      <c r="DG106">
        <f t="shared" si="330"/>
        <v>0.40894158616793735</v>
      </c>
      <c r="DH106">
        <f t="shared" si="331"/>
        <v>0.40894158616793735</v>
      </c>
      <c r="DI106">
        <f t="shared" si="332"/>
        <v>0.40894158616793735</v>
      </c>
      <c r="DJ106">
        <f t="shared" si="333"/>
        <v>0.40894158616793735</v>
      </c>
      <c r="DK106">
        <f t="shared" si="334"/>
        <v>0.40894158616793735</v>
      </c>
      <c r="DL106">
        <f t="shared" si="335"/>
        <v>0.40894158616793735</v>
      </c>
      <c r="DM106" s="50">
        <f t="shared" si="336"/>
        <v>0.40894158616793735</v>
      </c>
      <c r="DN106" s="16"/>
      <c r="DO106" s="16"/>
      <c r="DP106" s="16"/>
      <c r="DQ106" s="16"/>
      <c r="DR106" s="16"/>
      <c r="DS106" s="28"/>
      <c r="DT106" s="28"/>
      <c r="DU106" s="28"/>
      <c r="DV106" s="28"/>
      <c r="DW106" s="28"/>
      <c r="DX106" s="28"/>
      <c r="DY106" s="28"/>
      <c r="DZ106" s="28"/>
      <c r="EA106" s="28"/>
      <c r="EB106" s="35"/>
      <c r="EC106" s="58">
        <f t="shared" si="273"/>
        <v>21</v>
      </c>
      <c r="ED106" s="44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52">
        <f t="shared" si="337"/>
        <v>0</v>
      </c>
      <c r="EU106" s="18">
        <f t="shared" si="337"/>
        <v>0</v>
      </c>
      <c r="EV106" s="18">
        <f t="shared" si="338"/>
        <v>0</v>
      </c>
      <c r="EW106" s="18">
        <f t="shared" si="339"/>
        <v>0</v>
      </c>
      <c r="EX106" s="18">
        <f t="shared" si="340"/>
        <v>0</v>
      </c>
      <c r="EY106" s="18">
        <f t="shared" si="341"/>
        <v>0</v>
      </c>
      <c r="EZ106" s="18">
        <f t="shared" si="342"/>
        <v>0</v>
      </c>
      <c r="FA106" s="18">
        <f t="shared" si="343"/>
        <v>0</v>
      </c>
      <c r="FB106" s="18">
        <f t="shared" si="344"/>
        <v>0</v>
      </c>
      <c r="FC106" s="18">
        <f t="shared" si="345"/>
        <v>0</v>
      </c>
      <c r="FD106" s="52">
        <f t="shared" si="346"/>
        <v>0</v>
      </c>
      <c r="FE106" s="16"/>
      <c r="FF106" s="16"/>
      <c r="FG106" s="16"/>
      <c r="FH106" s="16"/>
      <c r="FI106" s="16"/>
      <c r="FJ106" s="28"/>
      <c r="FK106" s="28"/>
      <c r="FL106" s="28"/>
      <c r="FM106" s="28"/>
      <c r="FN106" s="28"/>
      <c r="FO106" s="28"/>
      <c r="FP106" s="28"/>
      <c r="FQ106" s="28"/>
      <c r="FR106" s="28"/>
      <c r="FS106" s="35"/>
    </row>
    <row r="107" spans="5:175">
      <c r="E107" s="48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57">
        <f t="shared" si="347"/>
        <v>0</v>
      </c>
      <c r="V107">
        <f t="shared" si="348"/>
        <v>0</v>
      </c>
      <c r="W107">
        <f t="shared" si="315"/>
        <v>0</v>
      </c>
      <c r="X107">
        <f t="shared" si="316"/>
        <v>0</v>
      </c>
      <c r="Y107">
        <f t="shared" si="317"/>
        <v>0</v>
      </c>
      <c r="Z107">
        <f t="shared" si="318"/>
        <v>0</v>
      </c>
      <c r="AA107">
        <f t="shared" si="319"/>
        <v>0</v>
      </c>
      <c r="AB107">
        <f t="shared" si="320"/>
        <v>0</v>
      </c>
      <c r="AC107">
        <f t="shared" si="321"/>
        <v>0</v>
      </c>
      <c r="AD107">
        <f t="shared" si="322"/>
        <v>0</v>
      </c>
      <c r="AE107" s="57">
        <f t="shared" si="322"/>
        <v>0</v>
      </c>
      <c r="AF107" s="16"/>
      <c r="AG107" s="16"/>
      <c r="AH107" s="16"/>
      <c r="AI107" s="16"/>
      <c r="AJ107" s="16"/>
      <c r="AK107" s="28"/>
      <c r="AL107" s="28"/>
      <c r="AM107" s="28"/>
      <c r="AN107" s="28"/>
      <c r="AO107" s="28"/>
      <c r="AP107" s="28"/>
      <c r="AQ107" s="28"/>
      <c r="AR107" s="28"/>
      <c r="AS107" s="28"/>
      <c r="AT107" s="35"/>
      <c r="AU107" s="58">
        <f t="shared" si="221"/>
        <v>20</v>
      </c>
      <c r="AV107" s="4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50">
        <f t="shared" si="349"/>
        <v>0</v>
      </c>
      <c r="BM107">
        <f t="shared" si="237"/>
        <v>0</v>
      </c>
      <c r="BN107">
        <f t="shared" si="238"/>
        <v>0</v>
      </c>
      <c r="BO107">
        <f t="shared" si="239"/>
        <v>0</v>
      </c>
      <c r="BP107">
        <f t="shared" si="240"/>
        <v>0</v>
      </c>
      <c r="BQ107">
        <f t="shared" si="241"/>
        <v>0</v>
      </c>
      <c r="BR107">
        <f t="shared" si="242"/>
        <v>0</v>
      </c>
      <c r="BS107">
        <f t="shared" si="243"/>
        <v>0</v>
      </c>
      <c r="BT107">
        <f t="shared" si="244"/>
        <v>0</v>
      </c>
      <c r="BU107">
        <f t="shared" si="245"/>
        <v>0</v>
      </c>
      <c r="BV107" s="50">
        <f t="shared" si="246"/>
        <v>0</v>
      </c>
      <c r="BW107" s="16"/>
      <c r="BX107" s="16"/>
      <c r="BY107" s="16"/>
      <c r="BZ107" s="16"/>
      <c r="CA107" s="16"/>
      <c r="CB107" s="28"/>
      <c r="CC107" s="28"/>
      <c r="CD107" s="28"/>
      <c r="CE107" s="28"/>
      <c r="CF107" s="28"/>
      <c r="CG107" s="28"/>
      <c r="CH107" s="28"/>
      <c r="CI107" s="28"/>
      <c r="CJ107" s="28"/>
      <c r="CK107" s="35"/>
      <c r="CM107" s="44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50">
        <f t="shared" si="327"/>
        <v>0.40894158616793863</v>
      </c>
      <c r="DD107">
        <f t="shared" si="327"/>
        <v>0.40894158616793863</v>
      </c>
      <c r="DE107">
        <f t="shared" si="328"/>
        <v>0.40894158616793863</v>
      </c>
      <c r="DF107">
        <f t="shared" si="329"/>
        <v>0.40894158616793863</v>
      </c>
      <c r="DG107">
        <f t="shared" si="330"/>
        <v>0.40894158616793863</v>
      </c>
      <c r="DH107">
        <f t="shared" si="331"/>
        <v>0.40894158616793863</v>
      </c>
      <c r="DI107">
        <f t="shared" si="332"/>
        <v>0.40894158616793863</v>
      </c>
      <c r="DJ107">
        <f t="shared" si="333"/>
        <v>0.40894158616793863</v>
      </c>
      <c r="DK107">
        <f t="shared" si="334"/>
        <v>0.40894158616793863</v>
      </c>
      <c r="DL107">
        <f t="shared" si="335"/>
        <v>0.40894158616793863</v>
      </c>
      <c r="DM107" s="50">
        <f t="shared" si="336"/>
        <v>0.40894158616793863</v>
      </c>
      <c r="DN107" s="16"/>
      <c r="DO107" s="16"/>
      <c r="DP107" s="16"/>
      <c r="DQ107" s="16"/>
      <c r="DR107" s="16"/>
      <c r="DS107" s="28"/>
      <c r="DT107" s="28"/>
      <c r="DU107" s="28"/>
      <c r="DV107" s="28"/>
      <c r="DW107" s="28"/>
      <c r="DX107" s="28"/>
      <c r="DY107" s="28"/>
      <c r="DZ107" s="28"/>
      <c r="EA107" s="28"/>
      <c r="EB107" s="35"/>
      <c r="EC107" s="58">
        <f t="shared" si="273"/>
        <v>20</v>
      </c>
      <c r="ED107" s="44"/>
      <c r="EE107" s="16"/>
      <c r="EF107" s="16"/>
      <c r="EG107" s="16"/>
      <c r="EH107" s="16"/>
      <c r="EI107" s="16"/>
      <c r="EJ107" s="16"/>
      <c r="EK107" s="16"/>
      <c r="EL107" s="16"/>
      <c r="EM107" s="16"/>
      <c r="EN107" s="16"/>
      <c r="EO107" s="16"/>
      <c r="EP107" s="16"/>
      <c r="EQ107" s="16"/>
      <c r="ER107" s="16"/>
      <c r="ES107" s="16"/>
      <c r="ET107" s="52">
        <f t="shared" si="337"/>
        <v>0</v>
      </c>
      <c r="EU107" s="18">
        <f t="shared" si="337"/>
        <v>0</v>
      </c>
      <c r="EV107" s="18">
        <f t="shared" si="338"/>
        <v>0</v>
      </c>
      <c r="EW107" s="18">
        <f t="shared" si="339"/>
        <v>0</v>
      </c>
      <c r="EX107" s="18">
        <f t="shared" si="340"/>
        <v>0</v>
      </c>
      <c r="EY107" s="18">
        <f t="shared" si="341"/>
        <v>0</v>
      </c>
      <c r="EZ107" s="18">
        <f t="shared" si="342"/>
        <v>0</v>
      </c>
      <c r="FA107" s="18">
        <f t="shared" si="343"/>
        <v>0</v>
      </c>
      <c r="FB107" s="18">
        <f t="shared" si="344"/>
        <v>0</v>
      </c>
      <c r="FC107" s="18">
        <f t="shared" si="345"/>
        <v>0</v>
      </c>
      <c r="FD107" s="52">
        <f t="shared" si="346"/>
        <v>0</v>
      </c>
      <c r="FE107" s="16"/>
      <c r="FF107" s="16"/>
      <c r="FG107" s="16"/>
      <c r="FH107" s="16"/>
      <c r="FI107" s="16"/>
      <c r="FJ107" s="28"/>
      <c r="FK107" s="28"/>
      <c r="FL107" s="28"/>
      <c r="FM107" s="28"/>
      <c r="FN107" s="28"/>
      <c r="FO107" s="28"/>
      <c r="FP107" s="28"/>
      <c r="FQ107" s="28"/>
      <c r="FR107" s="28"/>
      <c r="FS107" s="35"/>
    </row>
    <row r="108" spans="5:175">
      <c r="E108" s="48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57">
        <f t="shared" si="347"/>
        <v>0</v>
      </c>
      <c r="V108">
        <f t="shared" si="348"/>
        <v>0</v>
      </c>
      <c r="W108">
        <f t="shared" si="315"/>
        <v>0</v>
      </c>
      <c r="X108">
        <f t="shared" si="316"/>
        <v>0</v>
      </c>
      <c r="Y108">
        <f t="shared" si="317"/>
        <v>0</v>
      </c>
      <c r="Z108">
        <f t="shared" si="318"/>
        <v>0</v>
      </c>
      <c r="AA108">
        <f t="shared" si="319"/>
        <v>0</v>
      </c>
      <c r="AB108">
        <f t="shared" si="320"/>
        <v>0</v>
      </c>
      <c r="AC108">
        <f t="shared" si="321"/>
        <v>0</v>
      </c>
      <c r="AD108">
        <f t="shared" si="322"/>
        <v>0</v>
      </c>
      <c r="AE108" s="57">
        <f t="shared" si="322"/>
        <v>0</v>
      </c>
      <c r="AF108" s="16"/>
      <c r="AG108" s="16"/>
      <c r="AH108" s="16"/>
      <c r="AI108" s="16"/>
      <c r="AJ108" s="16"/>
      <c r="AK108" s="28"/>
      <c r="AL108" s="28"/>
      <c r="AM108" s="28"/>
      <c r="AN108" s="28"/>
      <c r="AO108" s="28"/>
      <c r="AP108" s="28"/>
      <c r="AQ108" s="28"/>
      <c r="AR108" s="28"/>
      <c r="AS108" s="28"/>
      <c r="AT108" s="35"/>
      <c r="AU108" s="58">
        <f t="shared" si="221"/>
        <v>19</v>
      </c>
      <c r="AV108" s="4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50">
        <f t="shared" si="349"/>
        <v>0</v>
      </c>
      <c r="BM108">
        <f t="shared" si="237"/>
        <v>0</v>
      </c>
      <c r="BN108">
        <f t="shared" si="238"/>
        <v>0</v>
      </c>
      <c r="BO108">
        <f t="shared" si="239"/>
        <v>0</v>
      </c>
      <c r="BP108">
        <f t="shared" si="240"/>
        <v>0</v>
      </c>
      <c r="BQ108">
        <f t="shared" si="241"/>
        <v>0</v>
      </c>
      <c r="BR108">
        <f t="shared" si="242"/>
        <v>0</v>
      </c>
      <c r="BS108">
        <f t="shared" si="243"/>
        <v>0</v>
      </c>
      <c r="BT108">
        <f t="shared" si="244"/>
        <v>0</v>
      </c>
      <c r="BU108">
        <f t="shared" si="245"/>
        <v>0</v>
      </c>
      <c r="BV108" s="50">
        <f t="shared" si="246"/>
        <v>0</v>
      </c>
      <c r="BW108" s="16"/>
      <c r="BX108" s="16"/>
      <c r="BY108" s="16"/>
      <c r="BZ108" s="16"/>
      <c r="CA108" s="16"/>
      <c r="CB108" s="28"/>
      <c r="CC108" s="28"/>
      <c r="CD108" s="28"/>
      <c r="CE108" s="28"/>
      <c r="CF108" s="28"/>
      <c r="CG108" s="28"/>
      <c r="CH108" s="28"/>
      <c r="CI108" s="28"/>
      <c r="CJ108" s="28"/>
      <c r="CK108" s="35"/>
      <c r="CM108" s="44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50">
        <f t="shared" si="327"/>
        <v>0.4089415861679459</v>
      </c>
      <c r="DD108">
        <f t="shared" si="327"/>
        <v>0.4089415861679459</v>
      </c>
      <c r="DE108">
        <f t="shared" si="328"/>
        <v>0.4089415861679459</v>
      </c>
      <c r="DF108">
        <f t="shared" si="329"/>
        <v>0.4089415861679459</v>
      </c>
      <c r="DG108">
        <f t="shared" si="330"/>
        <v>0.4089415861679459</v>
      </c>
      <c r="DH108">
        <f t="shared" si="331"/>
        <v>0.4089415861679459</v>
      </c>
      <c r="DI108">
        <f t="shared" si="332"/>
        <v>0.4089415861679459</v>
      </c>
      <c r="DJ108">
        <f t="shared" si="333"/>
        <v>0.4089415861679459</v>
      </c>
      <c r="DK108">
        <f t="shared" si="334"/>
        <v>0.4089415861679459</v>
      </c>
      <c r="DL108">
        <f t="shared" si="335"/>
        <v>0.4089415861679459</v>
      </c>
      <c r="DM108" s="50">
        <f t="shared" si="336"/>
        <v>0.4089415861679459</v>
      </c>
      <c r="DN108" s="16"/>
      <c r="DO108" s="16"/>
      <c r="DP108" s="16"/>
      <c r="DQ108" s="16"/>
      <c r="DR108" s="16"/>
      <c r="DS108" s="28"/>
      <c r="DT108" s="28"/>
      <c r="DU108" s="28"/>
      <c r="DV108" s="28"/>
      <c r="DW108" s="28"/>
      <c r="DX108" s="28"/>
      <c r="DY108" s="28"/>
      <c r="DZ108" s="28"/>
      <c r="EA108" s="28"/>
      <c r="EB108" s="35"/>
      <c r="EC108" s="58">
        <f t="shared" si="273"/>
        <v>19</v>
      </c>
      <c r="ED108" s="44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52">
        <f t="shared" si="337"/>
        <v>0</v>
      </c>
      <c r="EU108" s="18">
        <f t="shared" si="337"/>
        <v>0</v>
      </c>
      <c r="EV108" s="18">
        <f t="shared" si="338"/>
        <v>0</v>
      </c>
      <c r="EW108" s="18">
        <f t="shared" si="339"/>
        <v>0</v>
      </c>
      <c r="EX108" s="18">
        <f t="shared" si="340"/>
        <v>0</v>
      </c>
      <c r="EY108" s="18">
        <f t="shared" si="341"/>
        <v>0</v>
      </c>
      <c r="EZ108" s="18">
        <f t="shared" si="342"/>
        <v>0</v>
      </c>
      <c r="FA108" s="18">
        <f t="shared" si="343"/>
        <v>0</v>
      </c>
      <c r="FB108" s="18">
        <f t="shared" si="344"/>
        <v>0</v>
      </c>
      <c r="FC108" s="18">
        <f t="shared" si="345"/>
        <v>0</v>
      </c>
      <c r="FD108" s="52">
        <f t="shared" si="346"/>
        <v>0</v>
      </c>
      <c r="FE108" s="16"/>
      <c r="FF108" s="16"/>
      <c r="FG108" s="16"/>
      <c r="FH108" s="16"/>
      <c r="FI108" s="16"/>
      <c r="FJ108" s="28"/>
      <c r="FK108" s="28"/>
      <c r="FL108" s="28"/>
      <c r="FM108" s="28"/>
      <c r="FN108" s="28"/>
      <c r="FO108" s="28"/>
      <c r="FP108" s="28"/>
      <c r="FQ108" s="28"/>
      <c r="FR108" s="28"/>
      <c r="FS108" s="35"/>
    </row>
    <row r="109" spans="5:175">
      <c r="E109" s="48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57">
        <f t="shared" si="347"/>
        <v>0</v>
      </c>
      <c r="V109">
        <f t="shared" si="348"/>
        <v>0</v>
      </c>
      <c r="W109">
        <f t="shared" si="315"/>
        <v>0</v>
      </c>
      <c r="X109">
        <f t="shared" si="316"/>
        <v>0</v>
      </c>
      <c r="Y109">
        <f t="shared" si="317"/>
        <v>0</v>
      </c>
      <c r="Z109">
        <f t="shared" si="318"/>
        <v>0</v>
      </c>
      <c r="AA109">
        <f t="shared" si="319"/>
        <v>0</v>
      </c>
      <c r="AB109">
        <f t="shared" si="320"/>
        <v>0</v>
      </c>
      <c r="AC109">
        <f t="shared" si="321"/>
        <v>0</v>
      </c>
      <c r="AD109">
        <f t="shared" si="322"/>
        <v>0</v>
      </c>
      <c r="AE109" s="57">
        <f t="shared" si="322"/>
        <v>0</v>
      </c>
      <c r="AF109" s="16"/>
      <c r="AG109" s="16"/>
      <c r="AH109" s="16"/>
      <c r="AI109" s="16"/>
      <c r="AJ109" s="16"/>
      <c r="AK109" s="28"/>
      <c r="AL109" s="28"/>
      <c r="AM109" s="28"/>
      <c r="AN109" s="28"/>
      <c r="AO109" s="28"/>
      <c r="AP109" s="28"/>
      <c r="AQ109" s="28"/>
      <c r="AR109" s="28"/>
      <c r="AS109" s="28"/>
      <c r="AT109" s="35"/>
      <c r="AU109" s="58">
        <f t="shared" si="221"/>
        <v>18</v>
      </c>
      <c r="AV109" s="4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50">
        <f t="shared" si="349"/>
        <v>0</v>
      </c>
      <c r="BM109">
        <f t="shared" si="237"/>
        <v>0</v>
      </c>
      <c r="BN109">
        <f t="shared" si="238"/>
        <v>0</v>
      </c>
      <c r="BO109">
        <f t="shared" si="239"/>
        <v>0</v>
      </c>
      <c r="BP109">
        <f t="shared" si="240"/>
        <v>0</v>
      </c>
      <c r="BQ109">
        <f t="shared" si="241"/>
        <v>0</v>
      </c>
      <c r="BR109">
        <f t="shared" si="242"/>
        <v>0</v>
      </c>
      <c r="BS109">
        <f t="shared" si="243"/>
        <v>0</v>
      </c>
      <c r="BT109">
        <f t="shared" si="244"/>
        <v>0</v>
      </c>
      <c r="BU109">
        <f t="shared" si="245"/>
        <v>0</v>
      </c>
      <c r="BV109" s="50">
        <f t="shared" si="246"/>
        <v>0</v>
      </c>
      <c r="BW109" s="16"/>
      <c r="BX109" s="16"/>
      <c r="BY109" s="16"/>
      <c r="BZ109" s="16"/>
      <c r="CA109" s="16"/>
      <c r="CB109" s="28"/>
      <c r="CC109" s="28"/>
      <c r="CD109" s="28"/>
      <c r="CE109" s="28"/>
      <c r="CF109" s="28"/>
      <c r="CG109" s="28"/>
      <c r="CH109" s="28"/>
      <c r="CI109" s="28"/>
      <c r="CJ109" s="28"/>
      <c r="CK109" s="35"/>
      <c r="CM109" s="44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50">
        <f t="shared" si="327"/>
        <v>0.40894158616798926</v>
      </c>
      <c r="DD109">
        <f t="shared" si="327"/>
        <v>0.40894158616798926</v>
      </c>
      <c r="DE109">
        <f t="shared" si="328"/>
        <v>0.40894158616798926</v>
      </c>
      <c r="DF109">
        <f t="shared" si="329"/>
        <v>0.40894158616798926</v>
      </c>
      <c r="DG109">
        <f t="shared" si="330"/>
        <v>0.40894158616798926</v>
      </c>
      <c r="DH109">
        <f t="shared" si="331"/>
        <v>0.40894158616798926</v>
      </c>
      <c r="DI109">
        <f t="shared" si="332"/>
        <v>0.40894158616798926</v>
      </c>
      <c r="DJ109">
        <f t="shared" si="333"/>
        <v>0.40894158616798926</v>
      </c>
      <c r="DK109">
        <f t="shared" si="334"/>
        <v>0.40894158616798926</v>
      </c>
      <c r="DL109">
        <f t="shared" si="335"/>
        <v>0.40894158616798926</v>
      </c>
      <c r="DM109" s="50">
        <f t="shared" si="336"/>
        <v>0.40894158616798926</v>
      </c>
      <c r="DN109" s="16"/>
      <c r="DO109" s="16"/>
      <c r="DP109" s="16"/>
      <c r="DQ109" s="16"/>
      <c r="DR109" s="16"/>
      <c r="DS109" s="28"/>
      <c r="DT109" s="28"/>
      <c r="DU109" s="28"/>
      <c r="DV109" s="28"/>
      <c r="DW109" s="28"/>
      <c r="DX109" s="28"/>
      <c r="DY109" s="28"/>
      <c r="DZ109" s="28"/>
      <c r="EA109" s="28"/>
      <c r="EB109" s="35"/>
      <c r="EC109" s="58">
        <f t="shared" si="273"/>
        <v>18</v>
      </c>
      <c r="ED109" s="44"/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6"/>
      <c r="EQ109" s="16"/>
      <c r="ER109" s="16"/>
      <c r="ES109" s="16"/>
      <c r="ET109" s="52">
        <f t="shared" si="337"/>
        <v>0</v>
      </c>
      <c r="EU109" s="18">
        <f t="shared" si="337"/>
        <v>0</v>
      </c>
      <c r="EV109" s="18">
        <f t="shared" si="338"/>
        <v>0</v>
      </c>
      <c r="EW109" s="18">
        <f t="shared" si="339"/>
        <v>0</v>
      </c>
      <c r="EX109" s="18">
        <f t="shared" si="340"/>
        <v>0</v>
      </c>
      <c r="EY109" s="18">
        <f t="shared" si="341"/>
        <v>0</v>
      </c>
      <c r="EZ109" s="18">
        <f t="shared" si="342"/>
        <v>0</v>
      </c>
      <c r="FA109" s="18">
        <f t="shared" si="343"/>
        <v>0</v>
      </c>
      <c r="FB109" s="18">
        <f t="shared" si="344"/>
        <v>0</v>
      </c>
      <c r="FC109" s="18">
        <f t="shared" si="345"/>
        <v>0</v>
      </c>
      <c r="FD109" s="52">
        <f t="shared" si="346"/>
        <v>0</v>
      </c>
      <c r="FE109" s="16"/>
      <c r="FF109" s="16"/>
      <c r="FG109" s="16"/>
      <c r="FH109" s="16"/>
      <c r="FI109" s="16"/>
      <c r="FJ109" s="28"/>
      <c r="FK109" s="28"/>
      <c r="FL109" s="28"/>
      <c r="FM109" s="28"/>
      <c r="FN109" s="28"/>
      <c r="FO109" s="28"/>
      <c r="FP109" s="28"/>
      <c r="FQ109" s="28"/>
      <c r="FR109" s="28"/>
      <c r="FS109" s="35"/>
    </row>
    <row r="110" spans="5:175">
      <c r="E110" s="48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57">
        <f t="shared" si="347"/>
        <v>0</v>
      </c>
      <c r="V110">
        <f t="shared" si="348"/>
        <v>0</v>
      </c>
      <c r="W110">
        <f t="shared" si="315"/>
        <v>0</v>
      </c>
      <c r="X110">
        <f t="shared" si="316"/>
        <v>0</v>
      </c>
      <c r="Y110">
        <f t="shared" si="317"/>
        <v>0</v>
      </c>
      <c r="Z110">
        <f t="shared" si="318"/>
        <v>0</v>
      </c>
      <c r="AA110">
        <f t="shared" si="319"/>
        <v>0</v>
      </c>
      <c r="AB110">
        <f>DJ110*AB109+FA110</f>
        <v>0</v>
      </c>
      <c r="AC110">
        <f t="shared" si="321"/>
        <v>0</v>
      </c>
      <c r="AD110">
        <f t="shared" si="322"/>
        <v>0</v>
      </c>
      <c r="AE110" s="57">
        <f t="shared" si="322"/>
        <v>0</v>
      </c>
      <c r="AF110" s="16"/>
      <c r="AG110" s="16"/>
      <c r="AH110" s="16"/>
      <c r="AI110" s="16"/>
      <c r="AJ110" s="16"/>
      <c r="AK110" s="28"/>
      <c r="AL110" s="28"/>
      <c r="AM110" s="28"/>
      <c r="AN110" s="28"/>
      <c r="AO110" s="28"/>
      <c r="AP110" s="28"/>
      <c r="AQ110" s="28"/>
      <c r="AR110" s="28"/>
      <c r="AS110" s="28"/>
      <c r="AT110" s="35"/>
      <c r="AU110" s="58">
        <f t="shared" si="221"/>
        <v>17</v>
      </c>
      <c r="AV110" s="4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50">
        <f t="shared" si="349"/>
        <v>0</v>
      </c>
      <c r="BM110">
        <f t="shared" si="237"/>
        <v>0</v>
      </c>
      <c r="BN110">
        <f t="shared" si="238"/>
        <v>0</v>
      </c>
      <c r="BO110">
        <f t="shared" si="239"/>
        <v>0</v>
      </c>
      <c r="BP110">
        <f t="shared" si="240"/>
        <v>0</v>
      </c>
      <c r="BQ110">
        <f t="shared" si="241"/>
        <v>0</v>
      </c>
      <c r="BR110">
        <f t="shared" si="242"/>
        <v>0</v>
      </c>
      <c r="BS110">
        <f t="shared" si="243"/>
        <v>0</v>
      </c>
      <c r="BT110">
        <f t="shared" si="244"/>
        <v>0</v>
      </c>
      <c r="BU110">
        <f t="shared" si="245"/>
        <v>0</v>
      </c>
      <c r="BV110" s="50">
        <f t="shared" si="246"/>
        <v>0</v>
      </c>
      <c r="BW110" s="16"/>
      <c r="BX110" s="16"/>
      <c r="BY110" s="16"/>
      <c r="BZ110" s="16"/>
      <c r="CA110" s="16"/>
      <c r="CB110" s="28"/>
      <c r="CC110" s="28"/>
      <c r="CD110" s="28"/>
      <c r="CE110" s="28"/>
      <c r="CF110" s="28"/>
      <c r="CG110" s="28"/>
      <c r="CH110" s="28"/>
      <c r="CI110" s="28"/>
      <c r="CJ110" s="28"/>
      <c r="CK110" s="35"/>
      <c r="CM110" s="44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50">
        <f t="shared" si="327"/>
        <v>0.40894158616824877</v>
      </c>
      <c r="DD110">
        <f t="shared" si="327"/>
        <v>0.40894158616824877</v>
      </c>
      <c r="DE110">
        <f t="shared" si="328"/>
        <v>0.40894158616824877</v>
      </c>
      <c r="DF110">
        <f t="shared" si="329"/>
        <v>0.40894158616824877</v>
      </c>
      <c r="DG110">
        <f t="shared" si="330"/>
        <v>0.40894158616824877</v>
      </c>
      <c r="DH110">
        <f t="shared" si="331"/>
        <v>0.40894158616824877</v>
      </c>
      <c r="DI110">
        <f t="shared" si="332"/>
        <v>0.40894158616824877</v>
      </c>
      <c r="DJ110">
        <f t="shared" si="333"/>
        <v>0.40894158616824877</v>
      </c>
      <c r="DK110">
        <f t="shared" si="334"/>
        <v>0.40894158616824877</v>
      </c>
      <c r="DL110">
        <f t="shared" si="335"/>
        <v>0.40894158616824877</v>
      </c>
      <c r="DM110" s="50">
        <f t="shared" si="336"/>
        <v>0.40894158616824877</v>
      </c>
      <c r="DN110" s="16"/>
      <c r="DO110" s="16"/>
      <c r="DP110" s="16"/>
      <c r="DQ110" s="16"/>
      <c r="DR110" s="16"/>
      <c r="DS110" s="28"/>
      <c r="DT110" s="28"/>
      <c r="DU110" s="28"/>
      <c r="DV110" s="28"/>
      <c r="DW110" s="28"/>
      <c r="DX110" s="28"/>
      <c r="DY110" s="28"/>
      <c r="DZ110" s="28"/>
      <c r="EA110" s="28"/>
      <c r="EB110" s="35"/>
      <c r="EC110" s="58">
        <f t="shared" si="273"/>
        <v>17</v>
      </c>
      <c r="ED110" s="44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52">
        <f t="shared" si="337"/>
        <v>0</v>
      </c>
      <c r="EU110" s="18">
        <f t="shared" si="337"/>
        <v>0</v>
      </c>
      <c r="EV110" s="18">
        <f t="shared" si="338"/>
        <v>0</v>
      </c>
      <c r="EW110" s="18">
        <f t="shared" si="339"/>
        <v>0</v>
      </c>
      <c r="EX110" s="18">
        <f t="shared" si="340"/>
        <v>0</v>
      </c>
      <c r="EY110" s="18">
        <f t="shared" si="341"/>
        <v>0</v>
      </c>
      <c r="EZ110" s="18">
        <f t="shared" si="342"/>
        <v>0</v>
      </c>
      <c r="FA110" s="18">
        <f t="shared" si="343"/>
        <v>0</v>
      </c>
      <c r="FB110" s="18">
        <f t="shared" si="344"/>
        <v>0</v>
      </c>
      <c r="FC110" s="18">
        <f t="shared" si="345"/>
        <v>0</v>
      </c>
      <c r="FD110" s="52">
        <f t="shared" si="346"/>
        <v>0</v>
      </c>
      <c r="FE110" s="16"/>
      <c r="FF110" s="16"/>
      <c r="FG110" s="16"/>
      <c r="FH110" s="16"/>
      <c r="FI110" s="16"/>
      <c r="FJ110" s="28"/>
      <c r="FK110" s="28"/>
      <c r="FL110" s="28"/>
      <c r="FM110" s="28"/>
      <c r="FN110" s="28"/>
      <c r="FO110" s="28"/>
      <c r="FP110" s="28"/>
      <c r="FQ110" s="28"/>
      <c r="FR110" s="28"/>
      <c r="FS110" s="35"/>
    </row>
    <row r="111" spans="5:175">
      <c r="E111" s="48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57">
        <f t="shared" si="347"/>
        <v>0</v>
      </c>
      <c r="V111">
        <f t="shared" si="348"/>
        <v>0</v>
      </c>
      <c r="W111">
        <f t="shared" si="315"/>
        <v>0</v>
      </c>
      <c r="X111">
        <f t="shared" si="316"/>
        <v>0</v>
      </c>
      <c r="Y111">
        <f t="shared" si="317"/>
        <v>0</v>
      </c>
      <c r="Z111">
        <f t="shared" si="318"/>
        <v>0</v>
      </c>
      <c r="AA111">
        <f t="shared" si="319"/>
        <v>0</v>
      </c>
      <c r="AB111">
        <f t="shared" si="320"/>
        <v>0</v>
      </c>
      <c r="AC111">
        <f t="shared" si="321"/>
        <v>0</v>
      </c>
      <c r="AD111">
        <f t="shared" si="322"/>
        <v>0</v>
      </c>
      <c r="AE111" s="57">
        <f t="shared" si="322"/>
        <v>0</v>
      </c>
      <c r="AF111" s="16"/>
      <c r="AG111" s="16"/>
      <c r="AH111" s="16"/>
      <c r="AI111" s="16"/>
      <c r="AJ111" s="16"/>
      <c r="AK111" s="28"/>
      <c r="AL111" s="28"/>
      <c r="AM111" s="28"/>
      <c r="AN111" s="28"/>
      <c r="AO111" s="28"/>
      <c r="AP111" s="28"/>
      <c r="AQ111" s="28"/>
      <c r="AR111" s="28"/>
      <c r="AS111" s="28"/>
      <c r="AT111" s="35"/>
      <c r="AU111" s="58">
        <f t="shared" si="221"/>
        <v>16</v>
      </c>
      <c r="AV111" s="4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50">
        <f t="shared" si="349"/>
        <v>0</v>
      </c>
      <c r="BM111">
        <f t="shared" si="237"/>
        <v>0</v>
      </c>
      <c r="BN111">
        <f t="shared" si="238"/>
        <v>0</v>
      </c>
      <c r="BO111">
        <f t="shared" si="239"/>
        <v>0</v>
      </c>
      <c r="BP111">
        <f t="shared" si="240"/>
        <v>0</v>
      </c>
      <c r="BQ111">
        <f t="shared" si="241"/>
        <v>0</v>
      </c>
      <c r="BR111">
        <f t="shared" si="242"/>
        <v>0</v>
      </c>
      <c r="BS111">
        <f t="shared" si="243"/>
        <v>0</v>
      </c>
      <c r="BT111">
        <f t="shared" si="244"/>
        <v>0</v>
      </c>
      <c r="BU111">
        <f t="shared" si="245"/>
        <v>0</v>
      </c>
      <c r="BV111" s="50">
        <f t="shared" si="246"/>
        <v>0</v>
      </c>
      <c r="BW111" s="16"/>
      <c r="BX111" s="16"/>
      <c r="BY111" s="16"/>
      <c r="BZ111" s="16"/>
      <c r="CA111" s="16"/>
      <c r="CB111" s="28"/>
      <c r="CC111" s="28"/>
      <c r="CD111" s="28"/>
      <c r="CE111" s="28"/>
      <c r="CF111" s="28"/>
      <c r="CG111" s="28"/>
      <c r="CH111" s="28"/>
      <c r="CI111" s="28"/>
      <c r="CJ111" s="28"/>
      <c r="CK111" s="35"/>
      <c r="CM111" s="44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50">
        <f t="shared" si="327"/>
        <v>0.40894158616980075</v>
      </c>
      <c r="DD111">
        <f t="shared" si="327"/>
        <v>0.40894158616980075</v>
      </c>
      <c r="DE111">
        <f t="shared" si="328"/>
        <v>0.40894158616980075</v>
      </c>
      <c r="DF111">
        <f t="shared" si="329"/>
        <v>0.40894158616980075</v>
      </c>
      <c r="DG111">
        <f t="shared" si="330"/>
        <v>0.40894158616980075</v>
      </c>
      <c r="DH111">
        <f t="shared" si="331"/>
        <v>0.40894158616980075</v>
      </c>
      <c r="DI111">
        <f t="shared" si="332"/>
        <v>0.40894158616980075</v>
      </c>
      <c r="DJ111">
        <f t="shared" si="333"/>
        <v>0.40894158616980075</v>
      </c>
      <c r="DK111">
        <f t="shared" si="334"/>
        <v>0.40894158616980075</v>
      </c>
      <c r="DL111">
        <f t="shared" si="335"/>
        <v>0.40894158616980075</v>
      </c>
      <c r="DM111" s="50">
        <f t="shared" si="336"/>
        <v>0.40894158616980075</v>
      </c>
      <c r="DN111" s="16"/>
      <c r="DO111" s="16"/>
      <c r="DP111" s="16"/>
      <c r="DQ111" s="16"/>
      <c r="DR111" s="16"/>
      <c r="DS111" s="28"/>
      <c r="DT111" s="28"/>
      <c r="DU111" s="28"/>
      <c r="DV111" s="28"/>
      <c r="DW111" s="28"/>
      <c r="DX111" s="28"/>
      <c r="DY111" s="28"/>
      <c r="DZ111" s="28"/>
      <c r="EA111" s="28"/>
      <c r="EB111" s="35"/>
      <c r="EC111" s="58">
        <f t="shared" si="273"/>
        <v>16</v>
      </c>
      <c r="ED111" s="44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52">
        <f t="shared" si="337"/>
        <v>0</v>
      </c>
      <c r="EU111" s="18">
        <f t="shared" si="337"/>
        <v>0</v>
      </c>
      <c r="EV111" s="18">
        <f t="shared" si="338"/>
        <v>0</v>
      </c>
      <c r="EW111" s="18">
        <f t="shared" si="339"/>
        <v>0</v>
      </c>
      <c r="EX111" s="18">
        <f t="shared" si="340"/>
        <v>0</v>
      </c>
      <c r="EY111" s="18">
        <f t="shared" si="341"/>
        <v>0</v>
      </c>
      <c r="EZ111" s="18">
        <f t="shared" si="342"/>
        <v>0</v>
      </c>
      <c r="FA111" s="18">
        <f t="shared" si="343"/>
        <v>0</v>
      </c>
      <c r="FB111" s="18">
        <f t="shared" si="344"/>
        <v>0</v>
      </c>
      <c r="FC111" s="18">
        <f t="shared" si="345"/>
        <v>0</v>
      </c>
      <c r="FD111" s="52">
        <f t="shared" si="346"/>
        <v>0</v>
      </c>
      <c r="FE111" s="16"/>
      <c r="FF111" s="16"/>
      <c r="FG111" s="16"/>
      <c r="FH111" s="16"/>
      <c r="FI111" s="16"/>
      <c r="FJ111" s="28"/>
      <c r="FK111" s="28"/>
      <c r="FL111" s="28"/>
      <c r="FM111" s="28"/>
      <c r="FN111" s="28"/>
      <c r="FO111" s="28"/>
      <c r="FP111" s="28"/>
      <c r="FQ111" s="28"/>
      <c r="FR111" s="28"/>
      <c r="FS111" s="35"/>
    </row>
    <row r="112" spans="5:175">
      <c r="E112" s="48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57">
        <f t="shared" si="347"/>
        <v>0</v>
      </c>
      <c r="V112">
        <f t="shared" si="348"/>
        <v>0</v>
      </c>
      <c r="W112">
        <f t="shared" si="315"/>
        <v>0</v>
      </c>
      <c r="X112">
        <f t="shared" si="316"/>
        <v>0</v>
      </c>
      <c r="Y112">
        <f t="shared" si="317"/>
        <v>0</v>
      </c>
      <c r="Z112">
        <f t="shared" si="318"/>
        <v>0</v>
      </c>
      <c r="AA112">
        <f t="shared" si="319"/>
        <v>0</v>
      </c>
      <c r="AB112">
        <f t="shared" si="320"/>
        <v>0</v>
      </c>
      <c r="AC112">
        <f t="shared" si="321"/>
        <v>0</v>
      </c>
      <c r="AD112">
        <f t="shared" si="322"/>
        <v>0</v>
      </c>
      <c r="AE112" s="57">
        <f t="shared" si="322"/>
        <v>0</v>
      </c>
      <c r="AF112" s="16"/>
      <c r="AG112" s="16"/>
      <c r="AH112" s="16"/>
      <c r="AI112" s="16"/>
      <c r="AJ112" s="16"/>
      <c r="AK112" s="28"/>
      <c r="AL112" s="28"/>
      <c r="AM112" s="28"/>
      <c r="AN112" s="28"/>
      <c r="AO112" s="28"/>
      <c r="AP112" s="28"/>
      <c r="AQ112" s="28"/>
      <c r="AR112" s="28"/>
      <c r="AS112" s="28"/>
      <c r="AT112" s="35"/>
      <c r="AU112" s="58">
        <f t="shared" si="221"/>
        <v>15</v>
      </c>
      <c r="AV112" s="4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50">
        <f t="shared" si="349"/>
        <v>0</v>
      </c>
      <c r="BM112">
        <f t="shared" si="237"/>
        <v>0</v>
      </c>
      <c r="BN112">
        <f t="shared" si="238"/>
        <v>0</v>
      </c>
      <c r="BO112">
        <f t="shared" si="239"/>
        <v>0</v>
      </c>
      <c r="BP112">
        <f t="shared" si="240"/>
        <v>0</v>
      </c>
      <c r="BQ112">
        <f t="shared" si="241"/>
        <v>0</v>
      </c>
      <c r="BR112">
        <f t="shared" si="242"/>
        <v>0</v>
      </c>
      <c r="BS112">
        <f t="shared" si="243"/>
        <v>0</v>
      </c>
      <c r="BT112">
        <f t="shared" si="244"/>
        <v>0</v>
      </c>
      <c r="BU112">
        <f t="shared" si="245"/>
        <v>0</v>
      </c>
      <c r="BV112" s="50">
        <f t="shared" si="246"/>
        <v>0</v>
      </c>
      <c r="BW112" s="16"/>
      <c r="BX112" s="16"/>
      <c r="BY112" s="16"/>
      <c r="BZ112" s="16"/>
      <c r="CA112" s="16"/>
      <c r="CB112" s="28"/>
      <c r="CC112" s="28"/>
      <c r="CD112" s="28"/>
      <c r="CE112" s="28"/>
      <c r="CF112" s="28"/>
      <c r="CG112" s="28"/>
      <c r="CH112" s="28"/>
      <c r="CI112" s="28"/>
      <c r="CJ112" s="28"/>
      <c r="CK112" s="35"/>
      <c r="CM112" s="44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50">
        <f t="shared" si="327"/>
        <v>0.40894158617908111</v>
      </c>
      <c r="DD112">
        <f t="shared" si="327"/>
        <v>0.40894158617908111</v>
      </c>
      <c r="DE112">
        <f t="shared" si="328"/>
        <v>0.40894158617908111</v>
      </c>
      <c r="DF112">
        <f t="shared" si="329"/>
        <v>0.40894158617908111</v>
      </c>
      <c r="DG112">
        <f t="shared" si="330"/>
        <v>0.40894158617908111</v>
      </c>
      <c r="DH112">
        <f t="shared" si="331"/>
        <v>0.40894158617908111</v>
      </c>
      <c r="DI112">
        <f t="shared" si="332"/>
        <v>0.40894158617908111</v>
      </c>
      <c r="DJ112">
        <f t="shared" si="333"/>
        <v>0.40894158617908111</v>
      </c>
      <c r="DK112">
        <f t="shared" si="334"/>
        <v>0.40894158617908111</v>
      </c>
      <c r="DL112">
        <f t="shared" si="335"/>
        <v>0.40894158617908111</v>
      </c>
      <c r="DM112" s="50">
        <f t="shared" si="336"/>
        <v>0.40894158617908111</v>
      </c>
      <c r="DN112" s="16"/>
      <c r="DO112" s="16"/>
      <c r="DP112" s="16"/>
      <c r="DQ112" s="16"/>
      <c r="DR112" s="16"/>
      <c r="DS112" s="28"/>
      <c r="DT112" s="28"/>
      <c r="DU112" s="28"/>
      <c r="DV112" s="28"/>
      <c r="DW112" s="28"/>
      <c r="DX112" s="28"/>
      <c r="DY112" s="28"/>
      <c r="DZ112" s="28"/>
      <c r="EA112" s="28"/>
      <c r="EB112" s="35"/>
      <c r="EC112" s="58">
        <f t="shared" si="273"/>
        <v>15</v>
      </c>
      <c r="ED112" s="44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52">
        <f t="shared" si="337"/>
        <v>0</v>
      </c>
      <c r="EU112" s="18">
        <f t="shared" si="337"/>
        <v>0</v>
      </c>
      <c r="EV112" s="18">
        <f t="shared" si="338"/>
        <v>0</v>
      </c>
      <c r="EW112" s="18">
        <f t="shared" si="339"/>
        <v>0</v>
      </c>
      <c r="EX112" s="18">
        <f t="shared" si="340"/>
        <v>0</v>
      </c>
      <c r="EY112" s="18">
        <f t="shared" si="341"/>
        <v>0</v>
      </c>
      <c r="EZ112" s="18">
        <f t="shared" si="342"/>
        <v>0</v>
      </c>
      <c r="FA112" s="18">
        <f t="shared" si="343"/>
        <v>0</v>
      </c>
      <c r="FB112" s="18">
        <f t="shared" si="344"/>
        <v>0</v>
      </c>
      <c r="FC112" s="18">
        <f t="shared" si="345"/>
        <v>0</v>
      </c>
      <c r="FD112" s="52">
        <f t="shared" si="346"/>
        <v>0</v>
      </c>
      <c r="FE112" s="16"/>
      <c r="FF112" s="16"/>
      <c r="FG112" s="16"/>
      <c r="FH112" s="16"/>
      <c r="FI112" s="16"/>
      <c r="FJ112" s="28"/>
      <c r="FK112" s="28"/>
      <c r="FL112" s="28"/>
      <c r="FM112" s="28"/>
      <c r="FN112" s="28"/>
      <c r="FO112" s="28"/>
      <c r="FP112" s="28"/>
      <c r="FQ112" s="28"/>
      <c r="FR112" s="28"/>
      <c r="FS112" s="35"/>
    </row>
    <row r="113" spans="5:175">
      <c r="E113" s="48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57">
        <f t="shared" si="347"/>
        <v>0</v>
      </c>
      <c r="V113">
        <f t="shared" si="348"/>
        <v>0</v>
      </c>
      <c r="W113">
        <f t="shared" si="315"/>
        <v>0</v>
      </c>
      <c r="X113">
        <f t="shared" si="316"/>
        <v>0</v>
      </c>
      <c r="Y113">
        <f t="shared" si="317"/>
        <v>0</v>
      </c>
      <c r="Z113">
        <f t="shared" si="318"/>
        <v>0</v>
      </c>
      <c r="AA113">
        <f t="shared" si="319"/>
        <v>0</v>
      </c>
      <c r="AB113">
        <f t="shared" si="320"/>
        <v>0</v>
      </c>
      <c r="AC113">
        <f t="shared" si="321"/>
        <v>0</v>
      </c>
      <c r="AD113">
        <f t="shared" si="322"/>
        <v>0</v>
      </c>
      <c r="AE113" s="57">
        <f t="shared" si="322"/>
        <v>0</v>
      </c>
      <c r="AF113" s="16"/>
      <c r="AG113" s="16"/>
      <c r="AH113" s="16"/>
      <c r="AI113" s="16"/>
      <c r="AJ113" s="16"/>
      <c r="AK113" s="28"/>
      <c r="AL113" s="28"/>
      <c r="AM113" s="28"/>
      <c r="AN113" s="28"/>
      <c r="AO113" s="28"/>
      <c r="AP113" s="28"/>
      <c r="AQ113" s="28"/>
      <c r="AR113" s="28"/>
      <c r="AS113" s="28"/>
      <c r="AT113" s="35"/>
      <c r="AU113" s="58">
        <f t="shared" si="221"/>
        <v>14</v>
      </c>
      <c r="AV113" s="4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50">
        <f t="shared" si="349"/>
        <v>0</v>
      </c>
      <c r="BM113">
        <f t="shared" si="237"/>
        <v>0</v>
      </c>
      <c r="BN113">
        <f t="shared" si="238"/>
        <v>0</v>
      </c>
      <c r="BO113">
        <f t="shared" si="239"/>
        <v>0</v>
      </c>
      <c r="BP113">
        <f t="shared" si="240"/>
        <v>0</v>
      </c>
      <c r="BQ113">
        <f t="shared" si="241"/>
        <v>0</v>
      </c>
      <c r="BR113">
        <f t="shared" si="242"/>
        <v>0</v>
      </c>
      <c r="BS113">
        <f t="shared" si="243"/>
        <v>0</v>
      </c>
      <c r="BT113">
        <f t="shared" si="244"/>
        <v>0</v>
      </c>
      <c r="BU113">
        <f t="shared" si="245"/>
        <v>0</v>
      </c>
      <c r="BV113" s="50">
        <f t="shared" si="246"/>
        <v>0</v>
      </c>
      <c r="BW113" s="16"/>
      <c r="BX113" s="16"/>
      <c r="BY113" s="16"/>
      <c r="BZ113" s="16"/>
      <c r="CA113" s="16"/>
      <c r="CB113" s="28"/>
      <c r="CC113" s="28"/>
      <c r="CD113" s="28"/>
      <c r="CE113" s="28"/>
      <c r="CF113" s="28"/>
      <c r="CG113" s="28"/>
      <c r="CH113" s="28"/>
      <c r="CI113" s="28"/>
      <c r="CJ113" s="28"/>
      <c r="CK113" s="35"/>
      <c r="CM113" s="44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50">
        <f t="shared" si="327"/>
        <v>0.40894158623457427</v>
      </c>
      <c r="DD113">
        <f t="shared" si="327"/>
        <v>0.40894158623457427</v>
      </c>
      <c r="DE113">
        <f t="shared" si="328"/>
        <v>0.40894158623457427</v>
      </c>
      <c r="DF113">
        <f t="shared" si="329"/>
        <v>0.40894158623457427</v>
      </c>
      <c r="DG113">
        <f t="shared" si="330"/>
        <v>0.40894158623457427</v>
      </c>
      <c r="DH113">
        <f t="shared" si="331"/>
        <v>0.40894158623457427</v>
      </c>
      <c r="DI113">
        <f t="shared" si="332"/>
        <v>0.40894158623457427</v>
      </c>
      <c r="DJ113">
        <f t="shared" si="333"/>
        <v>0.40894158623457427</v>
      </c>
      <c r="DK113">
        <f t="shared" si="334"/>
        <v>0.40894158623457427</v>
      </c>
      <c r="DL113">
        <f t="shared" si="335"/>
        <v>0.40894158623457427</v>
      </c>
      <c r="DM113" s="50">
        <f t="shared" si="336"/>
        <v>0.40894158623457427</v>
      </c>
      <c r="DN113" s="16"/>
      <c r="DO113" s="16"/>
      <c r="DP113" s="16"/>
      <c r="DQ113" s="16"/>
      <c r="DR113" s="16"/>
      <c r="DS113" s="28"/>
      <c r="DT113" s="28"/>
      <c r="DU113" s="28"/>
      <c r="DV113" s="28"/>
      <c r="DW113" s="28"/>
      <c r="DX113" s="28"/>
      <c r="DY113" s="28"/>
      <c r="DZ113" s="28"/>
      <c r="EA113" s="28"/>
      <c r="EB113" s="35"/>
      <c r="EC113" s="58">
        <f t="shared" si="273"/>
        <v>14</v>
      </c>
      <c r="ED113" s="44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52">
        <f t="shared" si="337"/>
        <v>0</v>
      </c>
      <c r="EU113" s="18">
        <f t="shared" si="337"/>
        <v>0</v>
      </c>
      <c r="EV113" s="18">
        <f t="shared" si="338"/>
        <v>0</v>
      </c>
      <c r="EW113" s="18">
        <f t="shared" si="339"/>
        <v>0</v>
      </c>
      <c r="EX113" s="18">
        <f t="shared" si="340"/>
        <v>0</v>
      </c>
      <c r="EY113" s="18">
        <f t="shared" si="341"/>
        <v>0</v>
      </c>
      <c r="EZ113" s="18">
        <f t="shared" si="342"/>
        <v>0</v>
      </c>
      <c r="FA113" s="18">
        <f t="shared" si="343"/>
        <v>0</v>
      </c>
      <c r="FB113" s="18">
        <f t="shared" si="344"/>
        <v>0</v>
      </c>
      <c r="FC113" s="18">
        <f t="shared" si="345"/>
        <v>0</v>
      </c>
      <c r="FD113" s="52">
        <f t="shared" si="346"/>
        <v>0</v>
      </c>
      <c r="FE113" s="16"/>
      <c r="FF113" s="16"/>
      <c r="FG113" s="16"/>
      <c r="FH113" s="16"/>
      <c r="FI113" s="16"/>
      <c r="FJ113" s="28"/>
      <c r="FK113" s="28"/>
      <c r="FL113" s="28"/>
      <c r="FM113" s="28"/>
      <c r="FN113" s="28"/>
      <c r="FO113" s="28"/>
      <c r="FP113" s="28"/>
      <c r="FQ113" s="28"/>
      <c r="FR113" s="28"/>
      <c r="FS113" s="35"/>
    </row>
    <row r="114" spans="5:175">
      <c r="E114" s="48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57">
        <f t="shared" si="347"/>
        <v>0</v>
      </c>
      <c r="V114">
        <f t="shared" si="348"/>
        <v>0</v>
      </c>
      <c r="W114">
        <f t="shared" si="315"/>
        <v>0</v>
      </c>
      <c r="X114">
        <f t="shared" si="316"/>
        <v>0</v>
      </c>
      <c r="Y114">
        <f t="shared" si="317"/>
        <v>0</v>
      </c>
      <c r="Z114">
        <f t="shared" si="318"/>
        <v>0</v>
      </c>
      <c r="AA114">
        <f t="shared" si="319"/>
        <v>0</v>
      </c>
      <c r="AB114">
        <f t="shared" si="320"/>
        <v>0</v>
      </c>
      <c r="AC114">
        <f t="shared" si="321"/>
        <v>0</v>
      </c>
      <c r="AD114">
        <f t="shared" si="322"/>
        <v>0</v>
      </c>
      <c r="AE114" s="57">
        <f t="shared" si="322"/>
        <v>0</v>
      </c>
      <c r="AF114" s="16"/>
      <c r="AG114" s="16"/>
      <c r="AH114" s="16"/>
      <c r="AI114" s="16"/>
      <c r="AJ114" s="16"/>
      <c r="AK114" s="28"/>
      <c r="AL114" s="28"/>
      <c r="AM114" s="28"/>
      <c r="AN114" s="28"/>
      <c r="AO114" s="28"/>
      <c r="AP114" s="28"/>
      <c r="AQ114" s="28"/>
      <c r="AR114" s="28"/>
      <c r="AS114" s="28"/>
      <c r="AT114" s="35"/>
      <c r="AU114" s="58">
        <f t="shared" si="221"/>
        <v>13</v>
      </c>
      <c r="AV114" s="4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50">
        <f t="shared" si="349"/>
        <v>0</v>
      </c>
      <c r="BM114">
        <f t="shared" si="237"/>
        <v>0</v>
      </c>
      <c r="BN114">
        <f t="shared" si="238"/>
        <v>0</v>
      </c>
      <c r="BO114">
        <f t="shared" si="239"/>
        <v>0</v>
      </c>
      <c r="BP114">
        <f t="shared" si="240"/>
        <v>0</v>
      </c>
      <c r="BQ114">
        <f t="shared" si="241"/>
        <v>0</v>
      </c>
      <c r="BR114">
        <f t="shared" si="242"/>
        <v>0</v>
      </c>
      <c r="BS114">
        <f t="shared" si="243"/>
        <v>0</v>
      </c>
      <c r="BT114">
        <f t="shared" si="244"/>
        <v>0</v>
      </c>
      <c r="BU114">
        <f t="shared" si="245"/>
        <v>0</v>
      </c>
      <c r="BV114" s="50">
        <f t="shared" si="246"/>
        <v>0</v>
      </c>
      <c r="BW114" s="16"/>
      <c r="BX114" s="16"/>
      <c r="BY114" s="16"/>
      <c r="BZ114" s="16"/>
      <c r="CA114" s="16"/>
      <c r="CB114" s="28"/>
      <c r="CC114" s="28"/>
      <c r="CD114" s="28"/>
      <c r="CE114" s="28"/>
      <c r="CF114" s="28"/>
      <c r="CG114" s="28"/>
      <c r="CH114" s="28"/>
      <c r="CI114" s="28"/>
      <c r="CJ114" s="28"/>
      <c r="CK114" s="35"/>
      <c r="CM114" s="44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50">
        <f t="shared" si="327"/>
        <v>0.40894158656640572</v>
      </c>
      <c r="DD114">
        <f t="shared" si="327"/>
        <v>0.40894158656640572</v>
      </c>
      <c r="DE114">
        <f t="shared" si="328"/>
        <v>0.40894158656640572</v>
      </c>
      <c r="DF114">
        <f t="shared" si="329"/>
        <v>0.40894158656640572</v>
      </c>
      <c r="DG114">
        <f t="shared" si="330"/>
        <v>0.40894158656640572</v>
      </c>
      <c r="DH114">
        <f t="shared" si="331"/>
        <v>0.40894158656640572</v>
      </c>
      <c r="DI114">
        <f t="shared" si="332"/>
        <v>0.40894158656640572</v>
      </c>
      <c r="DJ114">
        <f t="shared" si="333"/>
        <v>0.40894158656640572</v>
      </c>
      <c r="DK114">
        <f t="shared" si="334"/>
        <v>0.40894158656640572</v>
      </c>
      <c r="DL114">
        <f t="shared" si="335"/>
        <v>0.40894158656640572</v>
      </c>
      <c r="DM114" s="50">
        <f t="shared" si="336"/>
        <v>0.40894158656640572</v>
      </c>
      <c r="DN114" s="16"/>
      <c r="DO114" s="16"/>
      <c r="DP114" s="16"/>
      <c r="DQ114" s="16"/>
      <c r="DR114" s="16"/>
      <c r="DS114" s="28"/>
      <c r="DT114" s="28"/>
      <c r="DU114" s="28"/>
      <c r="DV114" s="28"/>
      <c r="DW114" s="28"/>
      <c r="DX114" s="28"/>
      <c r="DY114" s="28"/>
      <c r="DZ114" s="28"/>
      <c r="EA114" s="28"/>
      <c r="EB114" s="35"/>
      <c r="EC114" s="58">
        <f t="shared" si="273"/>
        <v>13</v>
      </c>
      <c r="ED114" s="44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52">
        <f t="shared" si="337"/>
        <v>0</v>
      </c>
      <c r="EU114" s="18">
        <f t="shared" si="337"/>
        <v>0</v>
      </c>
      <c r="EV114" s="18">
        <f t="shared" si="338"/>
        <v>0</v>
      </c>
      <c r="EW114" s="18">
        <f t="shared" si="339"/>
        <v>0</v>
      </c>
      <c r="EX114" s="18">
        <f t="shared" si="340"/>
        <v>0</v>
      </c>
      <c r="EY114" s="18">
        <f t="shared" si="341"/>
        <v>0</v>
      </c>
      <c r="EZ114" s="18">
        <f t="shared" si="342"/>
        <v>0</v>
      </c>
      <c r="FA114" s="18">
        <f t="shared" si="343"/>
        <v>0</v>
      </c>
      <c r="FB114" s="18">
        <f t="shared" si="344"/>
        <v>0</v>
      </c>
      <c r="FC114" s="18">
        <f t="shared" si="345"/>
        <v>0</v>
      </c>
      <c r="FD114" s="52">
        <f t="shared" si="346"/>
        <v>0</v>
      </c>
      <c r="FE114" s="16"/>
      <c r="FF114" s="16"/>
      <c r="FG114" s="16"/>
      <c r="FH114" s="16"/>
      <c r="FI114" s="16"/>
      <c r="FJ114" s="28"/>
      <c r="FK114" s="28"/>
      <c r="FL114" s="28"/>
      <c r="FM114" s="28"/>
      <c r="FN114" s="28"/>
      <c r="FO114" s="28"/>
      <c r="FP114" s="28"/>
      <c r="FQ114" s="28"/>
      <c r="FR114" s="28"/>
      <c r="FS114" s="35"/>
    </row>
    <row r="115" spans="5:175">
      <c r="E115" s="48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57">
        <f t="shared" si="347"/>
        <v>0</v>
      </c>
      <c r="V115">
        <f t="shared" si="348"/>
        <v>0</v>
      </c>
      <c r="W115">
        <f t="shared" si="315"/>
        <v>0</v>
      </c>
      <c r="X115">
        <f t="shared" si="316"/>
        <v>0</v>
      </c>
      <c r="Y115">
        <f t="shared" si="317"/>
        <v>0</v>
      </c>
      <c r="Z115">
        <f t="shared" si="318"/>
        <v>0</v>
      </c>
      <c r="AA115">
        <f t="shared" si="319"/>
        <v>0</v>
      </c>
      <c r="AB115">
        <f t="shared" si="320"/>
        <v>0</v>
      </c>
      <c r="AC115">
        <f t="shared" si="321"/>
        <v>0</v>
      </c>
      <c r="AD115">
        <f t="shared" si="322"/>
        <v>0</v>
      </c>
      <c r="AE115" s="57">
        <f t="shared" si="322"/>
        <v>0</v>
      </c>
      <c r="AF115" s="16"/>
      <c r="AG115" s="16"/>
      <c r="AH115" s="16"/>
      <c r="AI115" s="16"/>
      <c r="AJ115" s="16"/>
      <c r="AK115" s="28"/>
      <c r="AL115" s="28"/>
      <c r="AM115" s="28"/>
      <c r="AN115" s="28"/>
      <c r="AO115" s="28"/>
      <c r="AP115" s="28"/>
      <c r="AQ115" s="28"/>
      <c r="AR115" s="28"/>
      <c r="AS115" s="28"/>
      <c r="AT115" s="35"/>
      <c r="AU115" s="58">
        <f t="shared" si="221"/>
        <v>12</v>
      </c>
      <c r="AV115" s="4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50">
        <f t="shared" si="349"/>
        <v>0</v>
      </c>
      <c r="BM115">
        <f t="shared" si="237"/>
        <v>0</v>
      </c>
      <c r="BN115">
        <f t="shared" si="238"/>
        <v>0</v>
      </c>
      <c r="BO115">
        <f t="shared" si="239"/>
        <v>0</v>
      </c>
      <c r="BP115">
        <f t="shared" si="240"/>
        <v>0</v>
      </c>
      <c r="BQ115">
        <f t="shared" si="241"/>
        <v>0</v>
      </c>
      <c r="BR115">
        <f t="shared" si="242"/>
        <v>0</v>
      </c>
      <c r="BS115">
        <f t="shared" si="243"/>
        <v>0</v>
      </c>
      <c r="BT115">
        <f t="shared" si="244"/>
        <v>0</v>
      </c>
      <c r="BU115">
        <f t="shared" si="245"/>
        <v>0</v>
      </c>
      <c r="BV115" s="50">
        <f t="shared" si="246"/>
        <v>0</v>
      </c>
      <c r="BW115" s="16"/>
      <c r="BX115" s="16"/>
      <c r="BY115" s="16"/>
      <c r="BZ115" s="16"/>
      <c r="CA115" s="16"/>
      <c r="CB115" s="28"/>
      <c r="CC115" s="28"/>
      <c r="CD115" s="28"/>
      <c r="CE115" s="28"/>
      <c r="CF115" s="28"/>
      <c r="CG115" s="28"/>
      <c r="CH115" s="28"/>
      <c r="CI115" s="28"/>
      <c r="CJ115" s="28"/>
      <c r="CK115" s="35"/>
      <c r="CM115" s="44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50">
        <f t="shared" si="327"/>
        <v>0.40894158855064883</v>
      </c>
      <c r="DD115">
        <f t="shared" si="327"/>
        <v>0.40894158855064883</v>
      </c>
      <c r="DE115">
        <f t="shared" si="328"/>
        <v>0.40894158855064883</v>
      </c>
      <c r="DF115">
        <f t="shared" si="329"/>
        <v>0.40894158855064883</v>
      </c>
      <c r="DG115">
        <f t="shared" si="330"/>
        <v>0.40894158855064883</v>
      </c>
      <c r="DH115">
        <f t="shared" si="331"/>
        <v>0.40894158855064883</v>
      </c>
      <c r="DI115">
        <f t="shared" si="332"/>
        <v>0.40894158855064883</v>
      </c>
      <c r="DJ115">
        <f t="shared" si="333"/>
        <v>0.40894158855064883</v>
      </c>
      <c r="DK115">
        <f t="shared" si="334"/>
        <v>0.40894158855064883</v>
      </c>
      <c r="DL115">
        <f t="shared" si="335"/>
        <v>0.40894158855064883</v>
      </c>
      <c r="DM115" s="50">
        <f t="shared" si="336"/>
        <v>0.40894158855064883</v>
      </c>
      <c r="DN115" s="16"/>
      <c r="DO115" s="16"/>
      <c r="DP115" s="16"/>
      <c r="DQ115" s="16"/>
      <c r="DR115" s="16"/>
      <c r="DS115" s="28"/>
      <c r="DT115" s="28"/>
      <c r="DU115" s="28"/>
      <c r="DV115" s="28"/>
      <c r="DW115" s="28"/>
      <c r="DX115" s="28"/>
      <c r="DY115" s="28"/>
      <c r="DZ115" s="28"/>
      <c r="EA115" s="28"/>
      <c r="EB115" s="35"/>
      <c r="EC115" s="58">
        <f t="shared" si="273"/>
        <v>12</v>
      </c>
      <c r="ED115" s="44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52">
        <f t="shared" si="337"/>
        <v>0</v>
      </c>
      <c r="EU115" s="18">
        <f t="shared" si="337"/>
        <v>0</v>
      </c>
      <c r="EV115" s="18">
        <f t="shared" si="338"/>
        <v>0</v>
      </c>
      <c r="EW115" s="18">
        <f t="shared" si="339"/>
        <v>0</v>
      </c>
      <c r="EX115" s="18">
        <f t="shared" si="340"/>
        <v>0</v>
      </c>
      <c r="EY115" s="18">
        <f t="shared" si="341"/>
        <v>0</v>
      </c>
      <c r="EZ115" s="18">
        <f t="shared" si="342"/>
        <v>0</v>
      </c>
      <c r="FA115" s="18">
        <f t="shared" si="343"/>
        <v>0</v>
      </c>
      <c r="FB115" s="18">
        <f t="shared" si="344"/>
        <v>0</v>
      </c>
      <c r="FC115" s="18">
        <f t="shared" si="345"/>
        <v>0</v>
      </c>
      <c r="FD115" s="52">
        <f t="shared" si="346"/>
        <v>0</v>
      </c>
      <c r="FE115" s="16"/>
      <c r="FF115" s="16"/>
      <c r="FG115" s="16"/>
      <c r="FH115" s="16"/>
      <c r="FI115" s="16"/>
      <c r="FJ115" s="28"/>
      <c r="FK115" s="28"/>
      <c r="FL115" s="28"/>
      <c r="FM115" s="28"/>
      <c r="FN115" s="28"/>
      <c r="FO115" s="28"/>
      <c r="FP115" s="28"/>
      <c r="FQ115" s="28"/>
      <c r="FR115" s="28"/>
      <c r="FS115" s="35"/>
    </row>
    <row r="116" spans="5:175">
      <c r="E116" s="48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57">
        <f t="shared" si="347"/>
        <v>0</v>
      </c>
      <c r="V116">
        <f t="shared" si="348"/>
        <v>0</v>
      </c>
      <c r="W116">
        <f t="shared" si="315"/>
        <v>0</v>
      </c>
      <c r="X116">
        <f t="shared" si="316"/>
        <v>0</v>
      </c>
      <c r="Y116">
        <f t="shared" si="317"/>
        <v>0</v>
      </c>
      <c r="Z116">
        <f t="shared" si="318"/>
        <v>0</v>
      </c>
      <c r="AA116">
        <f t="shared" si="319"/>
        <v>0</v>
      </c>
      <c r="AB116">
        <f t="shared" si="320"/>
        <v>0</v>
      </c>
      <c r="AC116">
        <f t="shared" si="321"/>
        <v>0</v>
      </c>
      <c r="AD116">
        <f t="shared" si="322"/>
        <v>0</v>
      </c>
      <c r="AE116" s="51">
        <f>FD117/(1-DM117)</f>
        <v>0</v>
      </c>
      <c r="AF116" s="51">
        <f>FE117/(1-DN117)</f>
        <v>0</v>
      </c>
      <c r="AG116" s="51">
        <f t="shared" ref="AE116:AS116" si="350">FF117/(1-DO117)</f>
        <v>0</v>
      </c>
      <c r="AH116" s="51">
        <f t="shared" si="350"/>
        <v>0</v>
      </c>
      <c r="AI116" s="51">
        <f t="shared" si="350"/>
        <v>0</v>
      </c>
      <c r="AJ116" s="51">
        <f t="shared" si="350"/>
        <v>0</v>
      </c>
      <c r="AK116" s="51">
        <f t="shared" si="350"/>
        <v>0</v>
      </c>
      <c r="AL116" s="51">
        <f t="shared" si="350"/>
        <v>0</v>
      </c>
      <c r="AM116" s="51">
        <f t="shared" si="350"/>
        <v>0</v>
      </c>
      <c r="AN116" s="51">
        <f t="shared" si="350"/>
        <v>0</v>
      </c>
      <c r="AO116" s="51">
        <f t="shared" si="350"/>
        <v>0</v>
      </c>
      <c r="AP116" s="51">
        <f t="shared" si="350"/>
        <v>0</v>
      </c>
      <c r="AQ116" s="51">
        <f t="shared" si="350"/>
        <v>0</v>
      </c>
      <c r="AR116" s="51">
        <f t="shared" si="350"/>
        <v>0</v>
      </c>
      <c r="AS116" s="51">
        <f>FR117/(1-EA117)</f>
        <v>0</v>
      </c>
      <c r="AT116" s="51">
        <f>FS117/(1-EB117)</f>
        <v>100.2211119021552</v>
      </c>
      <c r="AU116" s="58">
        <f t="shared" si="221"/>
        <v>11</v>
      </c>
      <c r="AV116" s="4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50">
        <f t="shared" si="349"/>
        <v>0</v>
      </c>
      <c r="BM116">
        <f t="shared" si="237"/>
        <v>0</v>
      </c>
      <c r="BN116">
        <f t="shared" si="238"/>
        <v>0</v>
      </c>
      <c r="BO116">
        <f t="shared" si="239"/>
        <v>0</v>
      </c>
      <c r="BP116">
        <f t="shared" si="240"/>
        <v>0</v>
      </c>
      <c r="BQ116">
        <f t="shared" si="241"/>
        <v>0</v>
      </c>
      <c r="BR116">
        <f t="shared" si="242"/>
        <v>0</v>
      </c>
      <c r="BS116">
        <f t="shared" si="243"/>
        <v>0</v>
      </c>
      <c r="BT116">
        <f t="shared" si="244"/>
        <v>0</v>
      </c>
      <c r="BU116">
        <f t="shared" si="245"/>
        <v>0</v>
      </c>
      <c r="BV116" s="50">
        <f t="shared" si="246"/>
        <v>0</v>
      </c>
      <c r="BW116" s="50">
        <f t="shared" ref="BW116:BW126" si="351">-($C$16*$C$15/$C$13)*AF74</f>
        <v>-1256.2713835867637</v>
      </c>
      <c r="BX116" s="50">
        <f t="shared" ref="BX116:BX126" si="352">-($C$16*$C$15/$C$13)*AG74</f>
        <v>-3072.0069045537298</v>
      </c>
      <c r="BY116" s="50">
        <f t="shared" ref="BY116:BY126" si="353">-($C$16*$C$15/$C$13)*AH74</f>
        <v>-7512.0922045302523</v>
      </c>
      <c r="BZ116" s="50">
        <f t="shared" ref="BZ116:BZ126" si="354">-($C$16*$C$15/$C$13)*AI74</f>
        <v>-18369.597168386823</v>
      </c>
      <c r="CA116" s="50">
        <f t="shared" ref="CA116:CA126" si="355">-($C$16*$C$15/$C$13)*AJ74</f>
        <v>-44919.856011764299</v>
      </c>
      <c r="CB116" s="50">
        <f t="shared" ref="CB116:CB126" si="356">-($C$16*$C$15/$C$13)*AK74</f>
        <v>-109844.18687394798</v>
      </c>
      <c r="CC116" s="50">
        <f t="shared" ref="CC116:CC126" si="357">-($C$16*$C$15/$C$13)*AL74</f>
        <v>-268606.0566820302</v>
      </c>
      <c r="CD116" s="50">
        <f t="shared" ref="CD116:CD126" si="358">-($C$16*$C$15/$C$13)*AM74</f>
        <v>-656832.33441484591</v>
      </c>
      <c r="CE116" s="50">
        <f t="shared" ref="CE116:CE126" si="359">-($C$16*$C$15/$C$13)*AN74</f>
        <v>-1606176.4238012594</v>
      </c>
      <c r="CF116" s="50">
        <f t="shared" ref="CF116:CF126" si="360">-($C$16*$C$15/$C$13)*AO74</f>
        <v>-3927642.6710529174</v>
      </c>
      <c r="CG116" s="50">
        <f t="shared" ref="CG116:CG126" si="361">-($C$16*$C$15/$C$13)*AP74</f>
        <v>-9604410.0279886369</v>
      </c>
      <c r="CH116" s="50">
        <f t="shared" ref="CH116:CH126" si="362">-($C$16*$C$15/$C$13)*AQ74</f>
        <v>-23486019.404356837</v>
      </c>
      <c r="CI116" s="50">
        <f t="shared" ref="CI116:CI126" si="363">-($C$16*$C$15/$C$13)*AR74</f>
        <v>-57431232.720636055</v>
      </c>
      <c r="CJ116" s="50">
        <f t="shared" ref="CJ116:CJ126" si="364">-($C$16*$C$15/$C$13)*AS74</f>
        <v>-140438719.52179295</v>
      </c>
      <c r="CK116" s="50">
        <f t="shared" ref="CK116:CK126" si="365">-($C$16*$C$15/$C$13)*AT74</f>
        <v>-343420000</v>
      </c>
      <c r="CM116" s="44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50">
        <f t="shared" si="327"/>
        <v>0.40894160041577399</v>
      </c>
      <c r="DD116">
        <f t="shared" si="327"/>
        <v>0.40894160041577399</v>
      </c>
      <c r="DE116">
        <f t="shared" si="328"/>
        <v>0.40894160041577399</v>
      </c>
      <c r="DF116">
        <f t="shared" si="329"/>
        <v>0.40894160041577399</v>
      </c>
      <c r="DG116">
        <f t="shared" si="330"/>
        <v>0.40894160041577399</v>
      </c>
      <c r="DH116">
        <f t="shared" si="331"/>
        <v>0.40894160041577399</v>
      </c>
      <c r="DI116">
        <f t="shared" si="332"/>
        <v>0.40894160041577399</v>
      </c>
      <c r="DJ116">
        <f t="shared" si="333"/>
        <v>0.40894160041577399</v>
      </c>
      <c r="DK116">
        <f t="shared" si="334"/>
        <v>0.40894160041577399</v>
      </c>
      <c r="DL116">
        <f t="shared" si="335"/>
        <v>0.40894160041577399</v>
      </c>
      <c r="DM116" s="50">
        <f t="shared" si="336"/>
        <v>0.40894160041577399</v>
      </c>
      <c r="DN116" s="50">
        <f t="shared" ref="DN116:DN125" si="366">$C$20/($C$21-$C$22*DN117)</f>
        <v>0.40894160041577399</v>
      </c>
      <c r="DO116" s="50">
        <f t="shared" ref="DO116:DO125" si="367">$C$20/($C$21-$C$22*DO117)</f>
        <v>0.40894160041577399</v>
      </c>
      <c r="DP116" s="50">
        <f t="shared" ref="DP116:DP125" si="368">$C$20/($C$21-$C$22*DP117)</f>
        <v>0.40894160041577399</v>
      </c>
      <c r="DQ116" s="50">
        <f t="shared" ref="DQ116:DQ125" si="369">$C$20/($C$21-$C$22*DQ117)</f>
        <v>0.40894160041577399</v>
      </c>
      <c r="DR116" s="50">
        <f t="shared" ref="DR116:DR125" si="370">$C$20/($C$21-$C$22*DR117)</f>
        <v>0.40894160041577399</v>
      </c>
      <c r="DS116" s="50">
        <f t="shared" ref="DS116:DS125" si="371">$C$20/($C$21-$C$22*DS117)</f>
        <v>0.40894160041577399</v>
      </c>
      <c r="DT116" s="50">
        <f t="shared" ref="DT116:DT125" si="372">$C$20/($C$21-$C$22*DT117)</f>
        <v>0.40894160041577399</v>
      </c>
      <c r="DU116" s="50">
        <f t="shared" ref="DU116:DU125" si="373">$C$20/($C$21-$C$22*DU117)</f>
        <v>0.40894160041577399</v>
      </c>
      <c r="DV116" s="50">
        <f t="shared" ref="DV116:DV125" si="374">$C$20/($C$21-$C$22*DV117)</f>
        <v>0.40894160041577399</v>
      </c>
      <c r="DW116" s="50">
        <f t="shared" ref="DW116:DW125" si="375">$C$20/($C$21-$C$22*DW117)</f>
        <v>0.40894160041577399</v>
      </c>
      <c r="DX116" s="50">
        <f t="shared" ref="DX116:DX125" si="376">$C$20/($C$21-$C$22*DX117)</f>
        <v>0.40894160041577399</v>
      </c>
      <c r="DY116" s="50">
        <f t="shared" ref="DY116:DY125" si="377">$C$20/($C$21-$C$22*DY117)</f>
        <v>0.40894160041577399</v>
      </c>
      <c r="DZ116" s="50">
        <f t="shared" ref="DZ116:DZ125" si="378">$C$20/($C$21-$C$22*DZ117)</f>
        <v>0.40894160041577399</v>
      </c>
      <c r="EA116" s="50">
        <f t="shared" ref="EA116:EA125" si="379">$C$20/($C$21-$C$22*EA117)</f>
        <v>0.40894160041577399</v>
      </c>
      <c r="EB116" s="50">
        <f t="shared" ref="EB116:EB125" si="380">$C$20/($C$21-$C$22*EB117)</f>
        <v>0.40894160041577399</v>
      </c>
      <c r="EC116" s="58">
        <f t="shared" si="273"/>
        <v>11</v>
      </c>
      <c r="ED116" s="44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52">
        <f t="shared" si="337"/>
        <v>0</v>
      </c>
      <c r="EU116" s="18">
        <f t="shared" si="337"/>
        <v>0</v>
      </c>
      <c r="EV116" s="18">
        <f t="shared" si="338"/>
        <v>0</v>
      </c>
      <c r="EW116" s="18">
        <f t="shared" si="339"/>
        <v>0</v>
      </c>
      <c r="EX116" s="18">
        <f t="shared" si="340"/>
        <v>0</v>
      </c>
      <c r="EY116" s="18">
        <f t="shared" si="341"/>
        <v>0</v>
      </c>
      <c r="EZ116" s="18">
        <f t="shared" si="342"/>
        <v>0</v>
      </c>
      <c r="FA116" s="18">
        <f t="shared" si="343"/>
        <v>0</v>
      </c>
      <c r="FB116" s="18">
        <f t="shared" si="344"/>
        <v>0</v>
      </c>
      <c r="FC116" s="18">
        <f t="shared" si="345"/>
        <v>0</v>
      </c>
      <c r="FD116" s="52">
        <f t="shared" si="346"/>
        <v>0</v>
      </c>
      <c r="FE116" s="52">
        <f t="shared" ref="FE116:FE125" si="381">(FE117*$C$22-BW74)/($C$21-$C$22*DN117)</f>
        <v>0</v>
      </c>
      <c r="FF116" s="52">
        <f t="shared" ref="FF116:FF125" si="382">(FF117*$C$22-BX74)/($C$21-$C$22*DO117)</f>
        <v>0</v>
      </c>
      <c r="FG116" s="52">
        <f t="shared" ref="FG116:FG125" si="383">(FG117*$C$22-BY74)/($C$21-$C$22*DP117)</f>
        <v>0</v>
      </c>
      <c r="FH116" s="52">
        <f t="shared" ref="FH116:FH125" si="384">(FH117*$C$22-BZ74)/($C$21-$C$22*DQ117)</f>
        <v>0</v>
      </c>
      <c r="FI116" s="52">
        <f t="shared" ref="FI116:FI125" si="385">(FI117*$C$22-CA74)/($C$21-$C$22*DR117)</f>
        <v>0</v>
      </c>
      <c r="FJ116" s="52">
        <f t="shared" ref="FJ116:FJ125" si="386">(FJ117*$C$22-CB74)/($C$21-$C$22*DS117)</f>
        <v>0</v>
      </c>
      <c r="FK116" s="52">
        <f t="shared" ref="FK116:FK125" si="387">(FK117*$C$22-CC74)/($C$21-$C$22*DT117)</f>
        <v>0</v>
      </c>
      <c r="FL116" s="52">
        <f t="shared" ref="FL116:FL125" si="388">(FL117*$C$22-CD74)/($C$21-$C$22*DU117)</f>
        <v>0</v>
      </c>
      <c r="FM116" s="52">
        <f t="shared" ref="FM116:FM125" si="389">(FM117*$C$22-CE74)/($C$21-$C$22*DV117)</f>
        <v>0</v>
      </c>
      <c r="FN116" s="52">
        <f t="shared" ref="FN116:FN125" si="390">(FN117*$C$22-CF74)/($C$21-$C$22*DW117)</f>
        <v>0</v>
      </c>
      <c r="FO116" s="52">
        <f t="shared" ref="FO116:FO125" si="391">(FO117*$C$22-CG74)/($C$21-$C$22*DX117)</f>
        <v>0</v>
      </c>
      <c r="FP116" s="52">
        <f t="shared" ref="FP116:FP125" si="392">(FP117*$C$22-CH74)/($C$21-$C$22*DY117)</f>
        <v>0</v>
      </c>
      <c r="FQ116" s="52">
        <f t="shared" ref="FQ116:FQ125" si="393">(FQ117*$C$22-CI74)/($C$21-$C$22*DZ117)</f>
        <v>0</v>
      </c>
      <c r="FR116" s="52">
        <f t="shared" ref="FR116:FR125" si="394">(FR117*$C$22-CJ74)/($C$21-$C$22*EA117)</f>
        <v>0</v>
      </c>
      <c r="FS116" s="52">
        <f t="shared" ref="FS116:FS125" si="395">(FS117*$C$22-CK74)/($C$21-$C$22*EB117)</f>
        <v>59.159284548992716</v>
      </c>
    </row>
    <row r="117" spans="5:175">
      <c r="E117" s="4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57">
        <f t="shared" ref="U117:AS126" si="396">DC117*U116+ET117</f>
        <v>0</v>
      </c>
      <c r="V117">
        <f t="shared" si="396"/>
        <v>0</v>
      </c>
      <c r="W117">
        <f t="shared" si="396"/>
        <v>0</v>
      </c>
      <c r="X117">
        <f t="shared" si="396"/>
        <v>0</v>
      </c>
      <c r="Y117">
        <f t="shared" si="396"/>
        <v>0</v>
      </c>
      <c r="Z117">
        <f t="shared" si="396"/>
        <v>0</v>
      </c>
      <c r="AA117">
        <f t="shared" si="396"/>
        <v>0</v>
      </c>
      <c r="AB117">
        <f t="shared" si="396"/>
        <v>0</v>
      </c>
      <c r="AC117">
        <f t="shared" si="396"/>
        <v>0</v>
      </c>
      <c r="AD117">
        <f t="shared" si="396"/>
        <v>0</v>
      </c>
      <c r="AE117">
        <f t="shared" si="396"/>
        <v>0</v>
      </c>
      <c r="AF117">
        <f t="shared" si="396"/>
        <v>0</v>
      </c>
      <c r="AG117">
        <f t="shared" si="396"/>
        <v>0</v>
      </c>
      <c r="AH117">
        <f t="shared" si="396"/>
        <v>0</v>
      </c>
      <c r="AI117">
        <f t="shared" si="396"/>
        <v>0</v>
      </c>
      <c r="AJ117">
        <f t="shared" si="396"/>
        <v>0</v>
      </c>
      <c r="AK117">
        <f t="shared" si="396"/>
        <v>0</v>
      </c>
      <c r="AL117">
        <f t="shared" si="396"/>
        <v>0</v>
      </c>
      <c r="AM117">
        <f t="shared" si="396"/>
        <v>0</v>
      </c>
      <c r="AN117">
        <f t="shared" si="396"/>
        <v>0</v>
      </c>
      <c r="AO117">
        <f t="shared" si="396"/>
        <v>0</v>
      </c>
      <c r="AP117">
        <f t="shared" si="396"/>
        <v>0</v>
      </c>
      <c r="AQ117">
        <f t="shared" si="396"/>
        <v>0</v>
      </c>
      <c r="AR117">
        <f t="shared" si="396"/>
        <v>0</v>
      </c>
      <c r="AS117">
        <f t="shared" si="396"/>
        <v>0</v>
      </c>
      <c r="AT117" s="57">
        <f>EB117*AT116+FS117</f>
        <v>100.2211119021552</v>
      </c>
      <c r="AU117" s="58">
        <f t="shared" si="221"/>
        <v>10</v>
      </c>
      <c r="AV117" s="46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50">
        <f t="shared" si="349"/>
        <v>-0.23152037841629408</v>
      </c>
      <c r="BM117">
        <f t="shared" si="237"/>
        <v>-0.23152037841629408</v>
      </c>
      <c r="BN117">
        <f t="shared" si="238"/>
        <v>-0.4293032847738158</v>
      </c>
      <c r="BO117">
        <f t="shared" si="239"/>
        <v>-0.99383080321348638</v>
      </c>
      <c r="BP117">
        <f t="shared" si="240"/>
        <v>-2.4073667157814542</v>
      </c>
      <c r="BQ117">
        <f t="shared" si="241"/>
        <v>-5.877464512761529</v>
      </c>
      <c r="BR117">
        <f t="shared" si="242"/>
        <v>-14.368554506190767</v>
      </c>
      <c r="BS117">
        <f t="shared" si="243"/>
        <v>-35.134393227271829</v>
      </c>
      <c r="BT117">
        <f t="shared" si="244"/>
        <v>-85.914792451113314</v>
      </c>
      <c r="BU117">
        <f t="shared" si="245"/>
        <v>-210.09036088779393</v>
      </c>
      <c r="BV117">
        <f t="shared" si="246"/>
        <v>-513.74163016050989</v>
      </c>
      <c r="BW117">
        <f t="shared" si="351"/>
        <v>-1256.2713835867637</v>
      </c>
      <c r="BX117">
        <f t="shared" si="352"/>
        <v>-3072.0069045537298</v>
      </c>
      <c r="BY117">
        <f t="shared" si="353"/>
        <v>-7512.0922045302523</v>
      </c>
      <c r="BZ117">
        <f t="shared" si="354"/>
        <v>-18369.597168386823</v>
      </c>
      <c r="CA117">
        <f t="shared" si="355"/>
        <v>-44919.856011764299</v>
      </c>
      <c r="CB117">
        <f t="shared" si="356"/>
        <v>-109844.18687394798</v>
      </c>
      <c r="CC117">
        <f t="shared" si="357"/>
        <v>-268606.0566820302</v>
      </c>
      <c r="CD117">
        <f t="shared" si="358"/>
        <v>-656832.33441484591</v>
      </c>
      <c r="CE117">
        <f t="shared" si="359"/>
        <v>-1606176.4238012594</v>
      </c>
      <c r="CF117">
        <f t="shared" si="360"/>
        <v>-3927642.6710529174</v>
      </c>
      <c r="CG117">
        <f t="shared" si="361"/>
        <v>-9604410.0279886369</v>
      </c>
      <c r="CH117">
        <f t="shared" si="362"/>
        <v>-23486019.404356837</v>
      </c>
      <c r="CI117">
        <f t="shared" si="363"/>
        <v>-57431232.720636055</v>
      </c>
      <c r="CJ117">
        <f t="shared" si="364"/>
        <v>-140438719.52179295</v>
      </c>
      <c r="CK117" s="50">
        <f t="shared" si="365"/>
        <v>-343420000</v>
      </c>
      <c r="CM117" s="44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50">
        <f t="shared" si="327"/>
        <v>0.40894167136534132</v>
      </c>
      <c r="DD117">
        <f t="shared" si="327"/>
        <v>0.40894167136534132</v>
      </c>
      <c r="DE117">
        <f t="shared" si="328"/>
        <v>0.40894167136534132</v>
      </c>
      <c r="DF117">
        <f t="shared" si="329"/>
        <v>0.40894167136534132</v>
      </c>
      <c r="DG117">
        <f t="shared" si="330"/>
        <v>0.40894167136534132</v>
      </c>
      <c r="DH117">
        <f t="shared" si="331"/>
        <v>0.40894167136534132</v>
      </c>
      <c r="DI117">
        <f t="shared" si="332"/>
        <v>0.40894167136534132</v>
      </c>
      <c r="DJ117">
        <f t="shared" si="333"/>
        <v>0.40894167136534132</v>
      </c>
      <c r="DK117">
        <f t="shared" si="334"/>
        <v>0.40894167136534132</v>
      </c>
      <c r="DL117">
        <f t="shared" si="335"/>
        <v>0.40894167136534132</v>
      </c>
      <c r="DM117">
        <f t="shared" si="336"/>
        <v>0.40894167136534132</v>
      </c>
      <c r="DN117">
        <f t="shared" si="366"/>
        <v>0.40894167136534132</v>
      </c>
      <c r="DO117">
        <f t="shared" si="367"/>
        <v>0.40894167136534132</v>
      </c>
      <c r="DP117">
        <f t="shared" si="368"/>
        <v>0.40894167136534132</v>
      </c>
      <c r="DQ117">
        <f t="shared" si="369"/>
        <v>0.40894167136534132</v>
      </c>
      <c r="DR117">
        <f t="shared" si="370"/>
        <v>0.40894167136534132</v>
      </c>
      <c r="DS117">
        <f t="shared" si="371"/>
        <v>0.40894167136534132</v>
      </c>
      <c r="DT117">
        <f t="shared" si="372"/>
        <v>0.40894167136534132</v>
      </c>
      <c r="DU117">
        <f t="shared" si="373"/>
        <v>0.40894167136534132</v>
      </c>
      <c r="DV117">
        <f t="shared" si="374"/>
        <v>0.40894167136534132</v>
      </c>
      <c r="DW117">
        <f t="shared" si="375"/>
        <v>0.40894167136534132</v>
      </c>
      <c r="DX117">
        <f t="shared" si="376"/>
        <v>0.40894167136534132</v>
      </c>
      <c r="DY117">
        <f t="shared" si="377"/>
        <v>0.40894167136534132</v>
      </c>
      <c r="DZ117">
        <f t="shared" si="378"/>
        <v>0.40894167136534132</v>
      </c>
      <c r="EA117">
        <f t="shared" si="379"/>
        <v>0.40894167136534132</v>
      </c>
      <c r="EB117" s="50">
        <f t="shared" si="380"/>
        <v>0.40894167136534132</v>
      </c>
      <c r="EC117" s="58">
        <f t="shared" si="273"/>
        <v>10</v>
      </c>
      <c r="ED117" s="44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52">
        <f t="shared" si="337"/>
        <v>0</v>
      </c>
      <c r="EU117" s="18">
        <f t="shared" si="337"/>
        <v>0</v>
      </c>
      <c r="EV117" s="18">
        <f t="shared" si="338"/>
        <v>0</v>
      </c>
      <c r="EW117" s="18">
        <f t="shared" si="339"/>
        <v>0</v>
      </c>
      <c r="EX117" s="18">
        <f t="shared" si="340"/>
        <v>0</v>
      </c>
      <c r="EY117" s="18">
        <f t="shared" si="341"/>
        <v>0</v>
      </c>
      <c r="EZ117" s="18">
        <f t="shared" si="342"/>
        <v>0</v>
      </c>
      <c r="FA117" s="18">
        <f t="shared" si="343"/>
        <v>0</v>
      </c>
      <c r="FB117" s="18">
        <f t="shared" si="344"/>
        <v>0</v>
      </c>
      <c r="FC117" s="18">
        <f t="shared" si="345"/>
        <v>0</v>
      </c>
      <c r="FD117" s="18">
        <f t="shared" si="346"/>
        <v>0</v>
      </c>
      <c r="FE117" s="18">
        <f t="shared" si="381"/>
        <v>0</v>
      </c>
      <c r="FF117" s="18">
        <f t="shared" si="382"/>
        <v>0</v>
      </c>
      <c r="FG117" s="18">
        <f t="shared" si="383"/>
        <v>0</v>
      </c>
      <c r="FH117" s="18">
        <f t="shared" si="384"/>
        <v>0</v>
      </c>
      <c r="FI117" s="18">
        <f t="shared" si="385"/>
        <v>0</v>
      </c>
      <c r="FJ117" s="18">
        <f t="shared" si="386"/>
        <v>0</v>
      </c>
      <c r="FK117" s="18">
        <f t="shared" si="387"/>
        <v>0</v>
      </c>
      <c r="FL117" s="18">
        <f t="shared" si="388"/>
        <v>0</v>
      </c>
      <c r="FM117" s="18">
        <f t="shared" si="389"/>
        <v>0</v>
      </c>
      <c r="FN117" s="18">
        <f t="shared" si="390"/>
        <v>0</v>
      </c>
      <c r="FO117" s="18">
        <f t="shared" si="391"/>
        <v>0</v>
      </c>
      <c r="FP117" s="18">
        <f t="shared" si="392"/>
        <v>0</v>
      </c>
      <c r="FQ117" s="18">
        <f t="shared" si="393"/>
        <v>0</v>
      </c>
      <c r="FR117" s="18">
        <f t="shared" si="394"/>
        <v>0</v>
      </c>
      <c r="FS117" s="52">
        <f t="shared" si="395"/>
        <v>59.236522894794952</v>
      </c>
    </row>
    <row r="118" spans="5:175">
      <c r="E118" s="4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57">
        <f t="shared" si="396"/>
        <v>0</v>
      </c>
      <c r="V118">
        <f t="shared" si="396"/>
        <v>0</v>
      </c>
      <c r="W118">
        <f t="shared" si="396"/>
        <v>0</v>
      </c>
      <c r="X118">
        <f t="shared" si="396"/>
        <v>0</v>
      </c>
      <c r="Y118">
        <f t="shared" si="396"/>
        <v>0</v>
      </c>
      <c r="Z118">
        <f t="shared" si="396"/>
        <v>0</v>
      </c>
      <c r="AA118">
        <f t="shared" si="396"/>
        <v>0</v>
      </c>
      <c r="AB118">
        <f t="shared" si="396"/>
        <v>0</v>
      </c>
      <c r="AC118">
        <f t="shared" si="396"/>
        <v>0</v>
      </c>
      <c r="AD118">
        <f t="shared" si="396"/>
        <v>0</v>
      </c>
      <c r="AE118">
        <f t="shared" si="396"/>
        <v>0</v>
      </c>
      <c r="AF118">
        <f t="shared" si="396"/>
        <v>0</v>
      </c>
      <c r="AG118">
        <f t="shared" si="396"/>
        <v>0</v>
      </c>
      <c r="AH118">
        <f t="shared" si="396"/>
        <v>0</v>
      </c>
      <c r="AI118">
        <f t="shared" si="396"/>
        <v>0</v>
      </c>
      <c r="AJ118">
        <f t="shared" si="396"/>
        <v>0</v>
      </c>
      <c r="AK118">
        <f t="shared" si="396"/>
        <v>0</v>
      </c>
      <c r="AL118">
        <f t="shared" si="396"/>
        <v>0</v>
      </c>
      <c r="AM118">
        <f t="shared" si="396"/>
        <v>0</v>
      </c>
      <c r="AN118">
        <f t="shared" si="396"/>
        <v>0</v>
      </c>
      <c r="AO118">
        <f t="shared" si="396"/>
        <v>0</v>
      </c>
      <c r="AP118">
        <f t="shared" si="396"/>
        <v>0</v>
      </c>
      <c r="AQ118">
        <f t="shared" si="396"/>
        <v>0</v>
      </c>
      <c r="AR118">
        <f t="shared" si="396"/>
        <v>0</v>
      </c>
      <c r="AS118">
        <f t="shared" si="396"/>
        <v>0</v>
      </c>
      <c r="AT118" s="57">
        <f t="shared" ref="AT118:AT125" si="397">EB118*AT117+FS118</f>
        <v>100.41000306991174</v>
      </c>
      <c r="AU118" s="58">
        <f t="shared" si="221"/>
        <v>9</v>
      </c>
      <c r="AV118" s="46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50">
        <f t="shared" si="349"/>
        <v>-0.23152037841629408</v>
      </c>
      <c r="BM118">
        <f t="shared" si="237"/>
        <v>-0.23152037841629408</v>
      </c>
      <c r="BN118">
        <f t="shared" si="238"/>
        <v>-0.4293032847738158</v>
      </c>
      <c r="BO118">
        <f t="shared" si="239"/>
        <v>-0.99383080321348638</v>
      </c>
      <c r="BP118">
        <f t="shared" si="240"/>
        <v>-2.4073667157814542</v>
      </c>
      <c r="BQ118">
        <f t="shared" si="241"/>
        <v>-5.877464512761529</v>
      </c>
      <c r="BR118">
        <f t="shared" si="242"/>
        <v>-14.368554506190767</v>
      </c>
      <c r="BS118">
        <f t="shared" si="243"/>
        <v>-35.134393227271829</v>
      </c>
      <c r="BT118">
        <f t="shared" si="244"/>
        <v>-85.914792451113314</v>
      </c>
      <c r="BU118">
        <f t="shared" si="245"/>
        <v>-210.09036088779393</v>
      </c>
      <c r="BV118">
        <f t="shared" si="246"/>
        <v>-513.74163016050989</v>
      </c>
      <c r="BW118">
        <f t="shared" si="351"/>
        <v>-1256.2713835867637</v>
      </c>
      <c r="BX118">
        <f t="shared" si="352"/>
        <v>-3072.0069045537298</v>
      </c>
      <c r="BY118">
        <f t="shared" si="353"/>
        <v>-7512.0922045302523</v>
      </c>
      <c r="BZ118">
        <f t="shared" si="354"/>
        <v>-18369.597168386823</v>
      </c>
      <c r="CA118">
        <f t="shared" si="355"/>
        <v>-44919.856011764299</v>
      </c>
      <c r="CB118">
        <f t="shared" si="356"/>
        <v>-109844.18687394798</v>
      </c>
      <c r="CC118">
        <f t="shared" si="357"/>
        <v>-268606.0566820302</v>
      </c>
      <c r="CD118">
        <f t="shared" si="358"/>
        <v>-656832.33441484591</v>
      </c>
      <c r="CE118">
        <f t="shared" si="359"/>
        <v>-1606176.4238012594</v>
      </c>
      <c r="CF118">
        <f t="shared" si="360"/>
        <v>-3927642.6710529174</v>
      </c>
      <c r="CG118">
        <f t="shared" si="361"/>
        <v>-9604410.0279886369</v>
      </c>
      <c r="CH118">
        <f t="shared" si="362"/>
        <v>-23486019.404356837</v>
      </c>
      <c r="CI118">
        <f t="shared" si="363"/>
        <v>-57431232.720636055</v>
      </c>
      <c r="CJ118">
        <f t="shared" si="364"/>
        <v>-140438719.52179295</v>
      </c>
      <c r="CK118" s="50">
        <f t="shared" si="365"/>
        <v>-343420000</v>
      </c>
      <c r="CM118" s="44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50">
        <f t="shared" si="327"/>
        <v>0.40894209562046063</v>
      </c>
      <c r="DD118">
        <f t="shared" si="327"/>
        <v>0.40894209562046063</v>
      </c>
      <c r="DE118">
        <f t="shared" si="328"/>
        <v>0.40894209562046063</v>
      </c>
      <c r="DF118">
        <f t="shared" si="329"/>
        <v>0.40894209562046063</v>
      </c>
      <c r="DG118">
        <f t="shared" si="330"/>
        <v>0.40894209562046063</v>
      </c>
      <c r="DH118">
        <f t="shared" si="331"/>
        <v>0.40894209562046063</v>
      </c>
      <c r="DI118">
        <f t="shared" si="332"/>
        <v>0.40894209562046063</v>
      </c>
      <c r="DJ118">
        <f t="shared" si="333"/>
        <v>0.40894209562046063</v>
      </c>
      <c r="DK118">
        <f t="shared" si="334"/>
        <v>0.40894209562046063</v>
      </c>
      <c r="DL118">
        <f t="shared" si="335"/>
        <v>0.40894209562046063</v>
      </c>
      <c r="DM118">
        <f t="shared" si="336"/>
        <v>0.40894209562046063</v>
      </c>
      <c r="DN118">
        <f t="shared" si="366"/>
        <v>0.40894209562046063</v>
      </c>
      <c r="DO118">
        <f t="shared" si="367"/>
        <v>0.40894209562046063</v>
      </c>
      <c r="DP118">
        <f t="shared" si="368"/>
        <v>0.40894209562046063</v>
      </c>
      <c r="DQ118">
        <f t="shared" si="369"/>
        <v>0.40894209562046063</v>
      </c>
      <c r="DR118">
        <f t="shared" si="370"/>
        <v>0.40894209562046063</v>
      </c>
      <c r="DS118">
        <f t="shared" si="371"/>
        <v>0.40894209562046063</v>
      </c>
      <c r="DT118">
        <f t="shared" si="372"/>
        <v>0.40894209562046063</v>
      </c>
      <c r="DU118">
        <f t="shared" si="373"/>
        <v>0.40894209562046063</v>
      </c>
      <c r="DV118">
        <f t="shared" si="374"/>
        <v>0.40894209562046063</v>
      </c>
      <c r="DW118">
        <f t="shared" si="375"/>
        <v>0.40894209562046063</v>
      </c>
      <c r="DX118">
        <f t="shared" si="376"/>
        <v>0.40894209562046063</v>
      </c>
      <c r="DY118">
        <f t="shared" si="377"/>
        <v>0.40894209562046063</v>
      </c>
      <c r="DZ118">
        <f t="shared" si="378"/>
        <v>0.40894209562046063</v>
      </c>
      <c r="EA118">
        <f t="shared" si="379"/>
        <v>0.40894209562046063</v>
      </c>
      <c r="EB118" s="50">
        <f t="shared" si="380"/>
        <v>0.40894209562046063</v>
      </c>
      <c r="EC118" s="58">
        <f t="shared" si="273"/>
        <v>9</v>
      </c>
      <c r="ED118" s="44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52">
        <f t="shared" si="337"/>
        <v>0</v>
      </c>
      <c r="EU118" s="18">
        <f t="shared" si="337"/>
        <v>0</v>
      </c>
      <c r="EV118" s="18">
        <f t="shared" si="338"/>
        <v>0</v>
      </c>
      <c r="EW118" s="18">
        <f t="shared" si="339"/>
        <v>0</v>
      </c>
      <c r="EX118" s="18">
        <f t="shared" si="340"/>
        <v>0</v>
      </c>
      <c r="EY118" s="18">
        <f t="shared" si="341"/>
        <v>0</v>
      </c>
      <c r="EZ118" s="18">
        <f t="shared" si="342"/>
        <v>0</v>
      </c>
      <c r="FA118" s="18">
        <f t="shared" si="343"/>
        <v>0</v>
      </c>
      <c r="FB118" s="18">
        <f t="shared" si="344"/>
        <v>0</v>
      </c>
      <c r="FC118" s="18">
        <f t="shared" si="345"/>
        <v>0</v>
      </c>
      <c r="FD118" s="18">
        <f t="shared" si="346"/>
        <v>0</v>
      </c>
      <c r="FE118" s="18">
        <f t="shared" si="381"/>
        <v>0</v>
      </c>
      <c r="FF118" s="18">
        <f t="shared" si="382"/>
        <v>0</v>
      </c>
      <c r="FG118" s="18">
        <f t="shared" si="383"/>
        <v>0</v>
      </c>
      <c r="FH118" s="18">
        <f t="shared" si="384"/>
        <v>0</v>
      </c>
      <c r="FI118" s="18">
        <f t="shared" si="385"/>
        <v>0</v>
      </c>
      <c r="FJ118" s="18">
        <f t="shared" si="386"/>
        <v>0</v>
      </c>
      <c r="FK118" s="18">
        <f t="shared" si="387"/>
        <v>0</v>
      </c>
      <c r="FL118" s="18">
        <f t="shared" si="388"/>
        <v>0</v>
      </c>
      <c r="FM118" s="18">
        <f t="shared" si="389"/>
        <v>0</v>
      </c>
      <c r="FN118" s="18">
        <f t="shared" si="390"/>
        <v>0</v>
      </c>
      <c r="FO118" s="18">
        <f t="shared" si="391"/>
        <v>0</v>
      </c>
      <c r="FP118" s="18">
        <f t="shared" si="392"/>
        <v>0</v>
      </c>
      <c r="FQ118" s="18">
        <f t="shared" si="393"/>
        <v>0</v>
      </c>
      <c r="FR118" s="18">
        <f t="shared" si="394"/>
        <v>0</v>
      </c>
      <c r="FS118" s="52">
        <f t="shared" si="395"/>
        <v>59.425371543231698</v>
      </c>
    </row>
    <row r="119" spans="5:175">
      <c r="E119" s="4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57">
        <f t="shared" si="396"/>
        <v>0</v>
      </c>
      <c r="V119">
        <f t="shared" si="396"/>
        <v>0</v>
      </c>
      <c r="W119">
        <f t="shared" si="396"/>
        <v>0</v>
      </c>
      <c r="X119">
        <f t="shared" si="396"/>
        <v>0</v>
      </c>
      <c r="Y119">
        <f t="shared" si="396"/>
        <v>0</v>
      </c>
      <c r="Z119">
        <f t="shared" si="396"/>
        <v>0</v>
      </c>
      <c r="AA119">
        <f t="shared" si="396"/>
        <v>0</v>
      </c>
      <c r="AB119">
        <f t="shared" si="396"/>
        <v>0</v>
      </c>
      <c r="AC119">
        <f t="shared" si="396"/>
        <v>0</v>
      </c>
      <c r="AD119">
        <f t="shared" si="396"/>
        <v>0</v>
      </c>
      <c r="AE119">
        <f t="shared" si="396"/>
        <v>0</v>
      </c>
      <c r="AF119">
        <f t="shared" si="396"/>
        <v>0</v>
      </c>
      <c r="AG119">
        <f t="shared" si="396"/>
        <v>0</v>
      </c>
      <c r="AH119">
        <f t="shared" si="396"/>
        <v>0</v>
      </c>
      <c r="AI119">
        <f t="shared" si="396"/>
        <v>0</v>
      </c>
      <c r="AJ119">
        <f t="shared" si="396"/>
        <v>0</v>
      </c>
      <c r="AK119">
        <f t="shared" si="396"/>
        <v>0</v>
      </c>
      <c r="AL119">
        <f t="shared" si="396"/>
        <v>0</v>
      </c>
      <c r="AM119">
        <f t="shared" si="396"/>
        <v>0</v>
      </c>
      <c r="AN119">
        <f t="shared" si="396"/>
        <v>0</v>
      </c>
      <c r="AO119">
        <f t="shared" si="396"/>
        <v>0</v>
      </c>
      <c r="AP119">
        <f t="shared" si="396"/>
        <v>0</v>
      </c>
      <c r="AQ119">
        <f t="shared" si="396"/>
        <v>0</v>
      </c>
      <c r="AR119">
        <f t="shared" si="396"/>
        <v>0</v>
      </c>
      <c r="AS119">
        <f t="shared" si="396"/>
        <v>0</v>
      </c>
      <c r="AT119" s="57">
        <f t="shared" si="397"/>
        <v>100.94915108908393</v>
      </c>
      <c r="AU119" s="58">
        <f t="shared" si="221"/>
        <v>8</v>
      </c>
      <c r="AV119" s="46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50">
        <f t="shared" si="349"/>
        <v>-0.23152037841629408</v>
      </c>
      <c r="BM119">
        <f t="shared" si="237"/>
        <v>-0.23152037841629408</v>
      </c>
      <c r="BN119">
        <f t="shared" si="238"/>
        <v>-0.4293032847738158</v>
      </c>
      <c r="BO119">
        <f t="shared" si="239"/>
        <v>-0.99383080321348638</v>
      </c>
      <c r="BP119">
        <f t="shared" si="240"/>
        <v>-2.4073667157814542</v>
      </c>
      <c r="BQ119">
        <f t="shared" si="241"/>
        <v>-5.877464512761529</v>
      </c>
      <c r="BR119">
        <f t="shared" si="242"/>
        <v>-14.368554506190767</v>
      </c>
      <c r="BS119">
        <f t="shared" si="243"/>
        <v>-35.134393227271829</v>
      </c>
      <c r="BT119">
        <f t="shared" si="244"/>
        <v>-85.914792451113314</v>
      </c>
      <c r="BU119">
        <f t="shared" si="245"/>
        <v>-210.09036088779393</v>
      </c>
      <c r="BV119">
        <f t="shared" si="246"/>
        <v>-513.74163016050989</v>
      </c>
      <c r="BW119">
        <f t="shared" si="351"/>
        <v>-1256.2713835867637</v>
      </c>
      <c r="BX119">
        <f t="shared" si="352"/>
        <v>-3072.0069045537298</v>
      </c>
      <c r="BY119">
        <f t="shared" si="353"/>
        <v>-7512.0922045302523</v>
      </c>
      <c r="BZ119">
        <f t="shared" si="354"/>
        <v>-18369.597168386823</v>
      </c>
      <c r="CA119">
        <f t="shared" si="355"/>
        <v>-44919.856011764299</v>
      </c>
      <c r="CB119">
        <f t="shared" si="356"/>
        <v>-109844.18687394798</v>
      </c>
      <c r="CC119">
        <f t="shared" si="357"/>
        <v>-268606.0566820302</v>
      </c>
      <c r="CD119">
        <f t="shared" si="358"/>
        <v>-656832.33441484591</v>
      </c>
      <c r="CE119">
        <f t="shared" si="359"/>
        <v>-1606176.4238012594</v>
      </c>
      <c r="CF119">
        <f t="shared" si="360"/>
        <v>-3927642.6710529174</v>
      </c>
      <c r="CG119">
        <f t="shared" si="361"/>
        <v>-9604410.0279886369</v>
      </c>
      <c r="CH119">
        <f t="shared" si="362"/>
        <v>-23486019.404356837</v>
      </c>
      <c r="CI119">
        <f t="shared" si="363"/>
        <v>-57431232.720636055</v>
      </c>
      <c r="CJ119">
        <f t="shared" si="364"/>
        <v>-140438719.52179295</v>
      </c>
      <c r="CK119" s="50">
        <f t="shared" si="365"/>
        <v>-343420000</v>
      </c>
      <c r="CM119" s="44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50">
        <f t="shared" si="327"/>
        <v>0.4089446325237156</v>
      </c>
      <c r="DD119">
        <f t="shared" si="327"/>
        <v>0.4089446325237156</v>
      </c>
      <c r="DE119">
        <f t="shared" si="328"/>
        <v>0.4089446325237156</v>
      </c>
      <c r="DF119">
        <f t="shared" si="329"/>
        <v>0.4089446325237156</v>
      </c>
      <c r="DG119">
        <f t="shared" si="330"/>
        <v>0.4089446325237156</v>
      </c>
      <c r="DH119">
        <f t="shared" si="331"/>
        <v>0.4089446325237156</v>
      </c>
      <c r="DI119">
        <f t="shared" si="332"/>
        <v>0.4089446325237156</v>
      </c>
      <c r="DJ119">
        <f t="shared" si="333"/>
        <v>0.4089446325237156</v>
      </c>
      <c r="DK119">
        <f t="shared" si="334"/>
        <v>0.4089446325237156</v>
      </c>
      <c r="DL119">
        <f t="shared" si="335"/>
        <v>0.4089446325237156</v>
      </c>
      <c r="DM119">
        <f t="shared" si="336"/>
        <v>0.4089446325237156</v>
      </c>
      <c r="DN119">
        <f t="shared" si="366"/>
        <v>0.4089446325237156</v>
      </c>
      <c r="DO119">
        <f t="shared" si="367"/>
        <v>0.4089446325237156</v>
      </c>
      <c r="DP119">
        <f t="shared" si="368"/>
        <v>0.4089446325237156</v>
      </c>
      <c r="DQ119">
        <f t="shared" si="369"/>
        <v>0.4089446325237156</v>
      </c>
      <c r="DR119">
        <f t="shared" si="370"/>
        <v>0.4089446325237156</v>
      </c>
      <c r="DS119">
        <f t="shared" si="371"/>
        <v>0.4089446325237156</v>
      </c>
      <c r="DT119">
        <f t="shared" si="372"/>
        <v>0.4089446325237156</v>
      </c>
      <c r="DU119">
        <f t="shared" si="373"/>
        <v>0.4089446325237156</v>
      </c>
      <c r="DV119">
        <f t="shared" si="374"/>
        <v>0.4089446325237156</v>
      </c>
      <c r="DW119">
        <f t="shared" si="375"/>
        <v>0.4089446325237156</v>
      </c>
      <c r="DX119">
        <f t="shared" si="376"/>
        <v>0.4089446325237156</v>
      </c>
      <c r="DY119">
        <f t="shared" si="377"/>
        <v>0.4089446325237156</v>
      </c>
      <c r="DZ119">
        <f t="shared" si="378"/>
        <v>0.4089446325237156</v>
      </c>
      <c r="EA119">
        <f t="shared" si="379"/>
        <v>0.4089446325237156</v>
      </c>
      <c r="EB119" s="50">
        <f t="shared" si="380"/>
        <v>0.4089446325237156</v>
      </c>
      <c r="EC119" s="58">
        <f t="shared" si="273"/>
        <v>8</v>
      </c>
      <c r="ED119" s="44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52">
        <f t="shared" si="337"/>
        <v>0</v>
      </c>
      <c r="EU119" s="18">
        <f t="shared" si="337"/>
        <v>0</v>
      </c>
      <c r="EV119" s="18">
        <f t="shared" si="338"/>
        <v>0</v>
      </c>
      <c r="EW119" s="18">
        <f t="shared" si="339"/>
        <v>0</v>
      </c>
      <c r="EX119" s="18">
        <f t="shared" si="340"/>
        <v>0</v>
      </c>
      <c r="EY119" s="18">
        <f t="shared" si="341"/>
        <v>0</v>
      </c>
      <c r="EZ119" s="18">
        <f t="shared" si="342"/>
        <v>0</v>
      </c>
      <c r="FA119" s="18">
        <f t="shared" si="343"/>
        <v>0</v>
      </c>
      <c r="FB119" s="18">
        <f t="shared" si="344"/>
        <v>0</v>
      </c>
      <c r="FC119" s="18">
        <f t="shared" si="345"/>
        <v>0</v>
      </c>
      <c r="FD119" s="18">
        <f t="shared" si="346"/>
        <v>0</v>
      </c>
      <c r="FE119" s="18">
        <f t="shared" si="381"/>
        <v>0</v>
      </c>
      <c r="FF119" s="18">
        <f t="shared" si="382"/>
        <v>0</v>
      </c>
      <c r="FG119" s="18">
        <f t="shared" si="383"/>
        <v>0</v>
      </c>
      <c r="FH119" s="18">
        <f t="shared" si="384"/>
        <v>0</v>
      </c>
      <c r="FI119" s="18">
        <f t="shared" si="385"/>
        <v>0</v>
      </c>
      <c r="FJ119" s="18">
        <f t="shared" si="386"/>
        <v>0</v>
      </c>
      <c r="FK119" s="18">
        <f t="shared" si="387"/>
        <v>0</v>
      </c>
      <c r="FL119" s="18">
        <f t="shared" si="388"/>
        <v>0</v>
      </c>
      <c r="FM119" s="18">
        <f t="shared" si="389"/>
        <v>0</v>
      </c>
      <c r="FN119" s="18">
        <f t="shared" si="390"/>
        <v>0</v>
      </c>
      <c r="FO119" s="18">
        <f t="shared" si="391"/>
        <v>0</v>
      </c>
      <c r="FP119" s="18">
        <f t="shared" si="392"/>
        <v>0</v>
      </c>
      <c r="FQ119" s="18">
        <f t="shared" si="393"/>
        <v>0</v>
      </c>
      <c r="FR119" s="18">
        <f t="shared" si="394"/>
        <v>0</v>
      </c>
      <c r="FS119" s="52">
        <f t="shared" si="395"/>
        <v>59.887019281953705</v>
      </c>
    </row>
    <row r="120" spans="5:175">
      <c r="E120" s="4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57">
        <f t="shared" si="396"/>
        <v>0</v>
      </c>
      <c r="V120">
        <f t="shared" si="396"/>
        <v>0</v>
      </c>
      <c r="W120">
        <f t="shared" si="396"/>
        <v>0</v>
      </c>
      <c r="X120">
        <f t="shared" si="396"/>
        <v>0</v>
      </c>
      <c r="Y120">
        <f t="shared" si="396"/>
        <v>0</v>
      </c>
      <c r="Z120">
        <f t="shared" si="396"/>
        <v>0</v>
      </c>
      <c r="AA120">
        <f t="shared" si="396"/>
        <v>0</v>
      </c>
      <c r="AB120">
        <f t="shared" si="396"/>
        <v>0</v>
      </c>
      <c r="AC120">
        <f t="shared" si="396"/>
        <v>0</v>
      </c>
      <c r="AD120">
        <f t="shared" si="396"/>
        <v>0</v>
      </c>
      <c r="AE120">
        <f t="shared" si="396"/>
        <v>0</v>
      </c>
      <c r="AF120">
        <f t="shared" si="396"/>
        <v>0</v>
      </c>
      <c r="AG120">
        <f t="shared" si="396"/>
        <v>0</v>
      </c>
      <c r="AH120">
        <f t="shared" si="396"/>
        <v>0</v>
      </c>
      <c r="AI120">
        <f t="shared" si="396"/>
        <v>0</v>
      </c>
      <c r="AJ120">
        <f t="shared" si="396"/>
        <v>0</v>
      </c>
      <c r="AK120">
        <f t="shared" si="396"/>
        <v>0</v>
      </c>
      <c r="AL120">
        <f t="shared" si="396"/>
        <v>0</v>
      </c>
      <c r="AM120">
        <f t="shared" si="396"/>
        <v>0</v>
      </c>
      <c r="AN120">
        <f t="shared" si="396"/>
        <v>0</v>
      </c>
      <c r="AO120">
        <f t="shared" si="396"/>
        <v>0</v>
      </c>
      <c r="AP120">
        <f t="shared" si="396"/>
        <v>0</v>
      </c>
      <c r="AQ120">
        <f t="shared" si="396"/>
        <v>0</v>
      </c>
      <c r="AR120">
        <f t="shared" si="396"/>
        <v>0</v>
      </c>
      <c r="AS120">
        <f t="shared" si="396"/>
        <v>0</v>
      </c>
      <c r="AT120" s="57">
        <f t="shared" si="397"/>
        <v>102.29913857843817</v>
      </c>
      <c r="AU120" s="58">
        <f t="shared" si="221"/>
        <v>7</v>
      </c>
      <c r="AV120" s="46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50">
        <f t="shared" si="349"/>
        <v>-0.23152037841629408</v>
      </c>
      <c r="BM120">
        <f t="shared" si="237"/>
        <v>-0.23152037841629408</v>
      </c>
      <c r="BN120">
        <f t="shared" si="238"/>
        <v>-0.4293032847738158</v>
      </c>
      <c r="BO120">
        <f t="shared" si="239"/>
        <v>-0.99383080321348638</v>
      </c>
      <c r="BP120">
        <f t="shared" si="240"/>
        <v>-2.4073667157814542</v>
      </c>
      <c r="BQ120">
        <f t="shared" si="241"/>
        <v>-5.877464512761529</v>
      </c>
      <c r="BR120">
        <f t="shared" si="242"/>
        <v>-14.368554506190767</v>
      </c>
      <c r="BS120">
        <f t="shared" si="243"/>
        <v>-35.134393227271829</v>
      </c>
      <c r="BT120">
        <f t="shared" si="244"/>
        <v>-85.914792451113314</v>
      </c>
      <c r="BU120">
        <f t="shared" si="245"/>
        <v>-210.09036088779393</v>
      </c>
      <c r="BV120">
        <f t="shared" si="246"/>
        <v>-513.74163016050989</v>
      </c>
      <c r="BW120">
        <f t="shared" si="351"/>
        <v>-1256.2713835867637</v>
      </c>
      <c r="BX120">
        <f t="shared" si="352"/>
        <v>-3072.0069045537298</v>
      </c>
      <c r="BY120">
        <f t="shared" si="353"/>
        <v>-7512.0922045302523</v>
      </c>
      <c r="BZ120">
        <f t="shared" si="354"/>
        <v>-18369.597168386823</v>
      </c>
      <c r="CA120">
        <f t="shared" si="355"/>
        <v>-44919.856011764299</v>
      </c>
      <c r="CB120">
        <f t="shared" si="356"/>
        <v>-109844.18687394798</v>
      </c>
      <c r="CC120">
        <f t="shared" si="357"/>
        <v>-268606.0566820302</v>
      </c>
      <c r="CD120">
        <f t="shared" si="358"/>
        <v>-656832.33441484591</v>
      </c>
      <c r="CE120">
        <f t="shared" si="359"/>
        <v>-1606176.4238012594</v>
      </c>
      <c r="CF120">
        <f t="shared" si="360"/>
        <v>-3927642.6710529174</v>
      </c>
      <c r="CG120">
        <f t="shared" si="361"/>
        <v>-9604410.0279886369</v>
      </c>
      <c r="CH120">
        <f t="shared" si="362"/>
        <v>-23486019.404356837</v>
      </c>
      <c r="CI120">
        <f t="shared" si="363"/>
        <v>-57431232.720636055</v>
      </c>
      <c r="CJ120">
        <f t="shared" si="364"/>
        <v>-140438719.52179295</v>
      </c>
      <c r="CK120" s="50">
        <f t="shared" si="365"/>
        <v>-343420000</v>
      </c>
      <c r="CM120" s="44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50">
        <f t="shared" si="327"/>
        <v>0.40895980224407819</v>
      </c>
      <c r="DD120">
        <f t="shared" si="327"/>
        <v>0.40895980224407819</v>
      </c>
      <c r="DE120">
        <f t="shared" si="328"/>
        <v>0.40895980224407819</v>
      </c>
      <c r="DF120">
        <f t="shared" si="329"/>
        <v>0.40895980224407819</v>
      </c>
      <c r="DG120">
        <f t="shared" si="330"/>
        <v>0.40895980224407819</v>
      </c>
      <c r="DH120">
        <f t="shared" si="331"/>
        <v>0.40895980224407819</v>
      </c>
      <c r="DI120">
        <f t="shared" si="332"/>
        <v>0.40895980224407819</v>
      </c>
      <c r="DJ120">
        <f t="shared" si="333"/>
        <v>0.40895980224407819</v>
      </c>
      <c r="DK120">
        <f t="shared" si="334"/>
        <v>0.40895980224407819</v>
      </c>
      <c r="DL120">
        <f t="shared" si="335"/>
        <v>0.40895980224407819</v>
      </c>
      <c r="DM120">
        <f t="shared" si="336"/>
        <v>0.40895980224407819</v>
      </c>
      <c r="DN120">
        <f t="shared" si="366"/>
        <v>0.40895980224407819</v>
      </c>
      <c r="DO120">
        <f t="shared" si="367"/>
        <v>0.40895980224407819</v>
      </c>
      <c r="DP120">
        <f t="shared" si="368"/>
        <v>0.40895980224407819</v>
      </c>
      <c r="DQ120">
        <f t="shared" si="369"/>
        <v>0.40895980224407819</v>
      </c>
      <c r="DR120">
        <f t="shared" si="370"/>
        <v>0.40895980224407819</v>
      </c>
      <c r="DS120">
        <f t="shared" si="371"/>
        <v>0.40895980224407819</v>
      </c>
      <c r="DT120">
        <f t="shared" si="372"/>
        <v>0.40895980224407819</v>
      </c>
      <c r="DU120">
        <f t="shared" si="373"/>
        <v>0.40895980224407819</v>
      </c>
      <c r="DV120">
        <f t="shared" si="374"/>
        <v>0.40895980224407819</v>
      </c>
      <c r="DW120">
        <f t="shared" si="375"/>
        <v>0.40895980224407819</v>
      </c>
      <c r="DX120">
        <f t="shared" si="376"/>
        <v>0.40895980224407819</v>
      </c>
      <c r="DY120">
        <f t="shared" si="377"/>
        <v>0.40895980224407819</v>
      </c>
      <c r="DZ120">
        <f t="shared" si="378"/>
        <v>0.40895980224407819</v>
      </c>
      <c r="EA120">
        <f t="shared" si="379"/>
        <v>0.40895980224407819</v>
      </c>
      <c r="EB120" s="50">
        <f t="shared" si="380"/>
        <v>0.40895980224407819</v>
      </c>
      <c r="EC120" s="58">
        <f t="shared" si="273"/>
        <v>7</v>
      </c>
      <c r="ED120" s="44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52">
        <f t="shared" si="337"/>
        <v>0</v>
      </c>
      <c r="EU120" s="18">
        <f t="shared" si="337"/>
        <v>0</v>
      </c>
      <c r="EV120" s="18">
        <f t="shared" si="338"/>
        <v>0</v>
      </c>
      <c r="EW120" s="18">
        <f t="shared" si="339"/>
        <v>0</v>
      </c>
      <c r="EX120" s="18">
        <f t="shared" si="340"/>
        <v>0</v>
      </c>
      <c r="EY120" s="18">
        <f t="shared" si="341"/>
        <v>0</v>
      </c>
      <c r="EZ120" s="18">
        <f t="shared" si="342"/>
        <v>0</v>
      </c>
      <c r="FA120" s="18">
        <f t="shared" si="343"/>
        <v>0</v>
      </c>
      <c r="FB120" s="18">
        <f t="shared" si="344"/>
        <v>0</v>
      </c>
      <c r="FC120" s="18">
        <f t="shared" si="345"/>
        <v>0</v>
      </c>
      <c r="FD120" s="18">
        <f t="shared" si="346"/>
        <v>0</v>
      </c>
      <c r="FE120" s="18">
        <f t="shared" si="381"/>
        <v>0</v>
      </c>
      <c r="FF120" s="18">
        <f t="shared" si="382"/>
        <v>0</v>
      </c>
      <c r="FG120" s="18">
        <f t="shared" si="383"/>
        <v>0</v>
      </c>
      <c r="FH120" s="18">
        <f t="shared" si="384"/>
        <v>0</v>
      </c>
      <c r="FI120" s="18">
        <f t="shared" si="385"/>
        <v>0</v>
      </c>
      <c r="FJ120" s="18">
        <f t="shared" si="386"/>
        <v>0</v>
      </c>
      <c r="FK120" s="18">
        <f t="shared" si="387"/>
        <v>0</v>
      </c>
      <c r="FL120" s="18">
        <f t="shared" si="388"/>
        <v>0</v>
      </c>
      <c r="FM120" s="18">
        <f t="shared" si="389"/>
        <v>0</v>
      </c>
      <c r="FN120" s="18">
        <f t="shared" si="390"/>
        <v>0</v>
      </c>
      <c r="FO120" s="18">
        <f t="shared" si="391"/>
        <v>0</v>
      </c>
      <c r="FP120" s="18">
        <f t="shared" si="392"/>
        <v>0</v>
      </c>
      <c r="FQ120" s="18">
        <f t="shared" si="393"/>
        <v>0</v>
      </c>
      <c r="FR120" s="18">
        <f t="shared" si="394"/>
        <v>0</v>
      </c>
      <c r="FS120" s="52">
        <f t="shared" si="395"/>
        <v>61.014993712338843</v>
      </c>
    </row>
    <row r="121" spans="5:175">
      <c r="E121" s="4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57">
        <f t="shared" si="396"/>
        <v>0</v>
      </c>
      <c r="V121">
        <f t="shared" si="396"/>
        <v>0</v>
      </c>
      <c r="W121">
        <f t="shared" si="396"/>
        <v>0</v>
      </c>
      <c r="X121">
        <f t="shared" si="396"/>
        <v>0</v>
      </c>
      <c r="Y121">
        <f t="shared" si="396"/>
        <v>0</v>
      </c>
      <c r="Z121">
        <f t="shared" si="396"/>
        <v>0</v>
      </c>
      <c r="AA121">
        <f t="shared" si="396"/>
        <v>0</v>
      </c>
      <c r="AB121">
        <f t="shared" si="396"/>
        <v>0</v>
      </c>
      <c r="AC121">
        <f t="shared" si="396"/>
        <v>0</v>
      </c>
      <c r="AD121">
        <f t="shared" si="396"/>
        <v>0</v>
      </c>
      <c r="AE121">
        <f t="shared" si="396"/>
        <v>0</v>
      </c>
      <c r="AF121">
        <f t="shared" si="396"/>
        <v>0</v>
      </c>
      <c r="AG121">
        <f t="shared" si="396"/>
        <v>0</v>
      </c>
      <c r="AH121">
        <f t="shared" si="396"/>
        <v>0</v>
      </c>
      <c r="AI121">
        <f t="shared" si="396"/>
        <v>0</v>
      </c>
      <c r="AJ121">
        <f t="shared" si="396"/>
        <v>0</v>
      </c>
      <c r="AK121">
        <f t="shared" si="396"/>
        <v>0</v>
      </c>
      <c r="AL121">
        <f t="shared" si="396"/>
        <v>0</v>
      </c>
      <c r="AM121">
        <f t="shared" si="396"/>
        <v>0</v>
      </c>
      <c r="AN121">
        <f t="shared" si="396"/>
        <v>0</v>
      </c>
      <c r="AO121">
        <f t="shared" si="396"/>
        <v>0</v>
      </c>
      <c r="AP121">
        <f t="shared" si="396"/>
        <v>0</v>
      </c>
      <c r="AQ121">
        <f t="shared" si="396"/>
        <v>0</v>
      </c>
      <c r="AR121">
        <f t="shared" si="396"/>
        <v>0</v>
      </c>
      <c r="AS121">
        <f t="shared" si="396"/>
        <v>0</v>
      </c>
      <c r="AT121" s="57">
        <f t="shared" si="397"/>
        <v>105.6132309698005</v>
      </c>
      <c r="AU121" s="58">
        <f t="shared" si="221"/>
        <v>6</v>
      </c>
      <c r="AV121" s="46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50">
        <f t="shared" si="349"/>
        <v>-0.23152037841629408</v>
      </c>
      <c r="BM121">
        <f t="shared" si="237"/>
        <v>-0.23152037841629408</v>
      </c>
      <c r="BN121">
        <f t="shared" si="238"/>
        <v>-0.4293032847738158</v>
      </c>
      <c r="BO121">
        <f t="shared" si="239"/>
        <v>-0.99383080321348638</v>
      </c>
      <c r="BP121">
        <f t="shared" si="240"/>
        <v>-2.4073667157814542</v>
      </c>
      <c r="BQ121">
        <f t="shared" si="241"/>
        <v>-5.877464512761529</v>
      </c>
      <c r="BR121">
        <f t="shared" si="242"/>
        <v>-14.368554506190767</v>
      </c>
      <c r="BS121">
        <f t="shared" si="243"/>
        <v>-35.134393227271829</v>
      </c>
      <c r="BT121">
        <f t="shared" si="244"/>
        <v>-85.914792451113314</v>
      </c>
      <c r="BU121">
        <f t="shared" si="245"/>
        <v>-210.09036088779393</v>
      </c>
      <c r="BV121">
        <f t="shared" si="246"/>
        <v>-513.74163016050989</v>
      </c>
      <c r="BW121">
        <f t="shared" si="351"/>
        <v>-1256.2713835867637</v>
      </c>
      <c r="BX121">
        <f t="shared" si="352"/>
        <v>-3072.0069045537298</v>
      </c>
      <c r="BY121">
        <f t="shared" si="353"/>
        <v>-7512.0922045302523</v>
      </c>
      <c r="BZ121">
        <f t="shared" si="354"/>
        <v>-18369.597168386823</v>
      </c>
      <c r="CA121">
        <f t="shared" si="355"/>
        <v>-44919.856011764299</v>
      </c>
      <c r="CB121">
        <f t="shared" si="356"/>
        <v>-109844.18687394798</v>
      </c>
      <c r="CC121">
        <f t="shared" si="357"/>
        <v>-268606.0566820302</v>
      </c>
      <c r="CD121">
        <f t="shared" si="358"/>
        <v>-656832.33441484591</v>
      </c>
      <c r="CE121">
        <f t="shared" si="359"/>
        <v>-1606176.4238012594</v>
      </c>
      <c r="CF121">
        <f t="shared" si="360"/>
        <v>-3927642.6710529174</v>
      </c>
      <c r="CG121">
        <f t="shared" si="361"/>
        <v>-9604410.0279886369</v>
      </c>
      <c r="CH121">
        <f t="shared" si="362"/>
        <v>-23486019.404356837</v>
      </c>
      <c r="CI121">
        <f t="shared" si="363"/>
        <v>-57431232.720636055</v>
      </c>
      <c r="CJ121">
        <f t="shared" si="364"/>
        <v>-140438719.52179295</v>
      </c>
      <c r="CK121" s="50">
        <f t="shared" si="365"/>
        <v>-343420000</v>
      </c>
      <c r="CM121" s="44"/>
      <c r="CN121" s="28"/>
      <c r="CO121" s="28"/>
      <c r="CP121" s="28"/>
      <c r="CQ121" s="28"/>
      <c r="CR121" s="28"/>
      <c r="CS121" s="28"/>
      <c r="CT121" s="28"/>
      <c r="CU121" s="28"/>
      <c r="CV121" s="28"/>
      <c r="CW121" s="28"/>
      <c r="CX121" s="28"/>
      <c r="CY121" s="28"/>
      <c r="CZ121" s="28"/>
      <c r="DA121" s="28"/>
      <c r="DB121" s="28"/>
      <c r="DC121" s="50">
        <f t="shared" si="327"/>
        <v>0.40905050749740984</v>
      </c>
      <c r="DD121">
        <f t="shared" si="327"/>
        <v>0.40905050749740984</v>
      </c>
      <c r="DE121">
        <f t="shared" si="328"/>
        <v>0.40905050749740984</v>
      </c>
      <c r="DF121">
        <f t="shared" si="329"/>
        <v>0.40905050749740984</v>
      </c>
      <c r="DG121">
        <f t="shared" si="330"/>
        <v>0.40905050749740984</v>
      </c>
      <c r="DH121">
        <f t="shared" si="331"/>
        <v>0.40905050749740984</v>
      </c>
      <c r="DI121">
        <f t="shared" si="332"/>
        <v>0.40905050749740984</v>
      </c>
      <c r="DJ121">
        <f t="shared" si="333"/>
        <v>0.40905050749740984</v>
      </c>
      <c r="DK121">
        <f t="shared" si="334"/>
        <v>0.40905050749740984</v>
      </c>
      <c r="DL121">
        <f t="shared" si="335"/>
        <v>0.40905050749740984</v>
      </c>
      <c r="DM121">
        <f t="shared" si="336"/>
        <v>0.40905050749740984</v>
      </c>
      <c r="DN121">
        <f t="shared" si="366"/>
        <v>0.40905050749740984</v>
      </c>
      <c r="DO121">
        <f t="shared" si="367"/>
        <v>0.40905050749740984</v>
      </c>
      <c r="DP121">
        <f t="shared" si="368"/>
        <v>0.40905050749740984</v>
      </c>
      <c r="DQ121">
        <f t="shared" si="369"/>
        <v>0.40905050749740984</v>
      </c>
      <c r="DR121">
        <f t="shared" si="370"/>
        <v>0.40905050749740984</v>
      </c>
      <c r="DS121">
        <f t="shared" si="371"/>
        <v>0.40905050749740984</v>
      </c>
      <c r="DT121">
        <f t="shared" si="372"/>
        <v>0.40905050749740984</v>
      </c>
      <c r="DU121">
        <f t="shared" si="373"/>
        <v>0.40905050749740984</v>
      </c>
      <c r="DV121">
        <f t="shared" si="374"/>
        <v>0.40905050749740984</v>
      </c>
      <c r="DW121">
        <f t="shared" si="375"/>
        <v>0.40905050749740984</v>
      </c>
      <c r="DX121">
        <f t="shared" si="376"/>
        <v>0.40905050749740984</v>
      </c>
      <c r="DY121">
        <f t="shared" si="377"/>
        <v>0.40905050749740984</v>
      </c>
      <c r="DZ121">
        <f t="shared" si="378"/>
        <v>0.40905050749740984</v>
      </c>
      <c r="EA121">
        <f t="shared" si="379"/>
        <v>0.40905050749740984</v>
      </c>
      <c r="EB121" s="50">
        <f t="shared" si="380"/>
        <v>0.40905050749740984</v>
      </c>
      <c r="EC121" s="58">
        <f t="shared" si="273"/>
        <v>6</v>
      </c>
      <c r="ED121" s="44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  <c r="EQ121" s="28"/>
      <c r="ER121" s="28"/>
      <c r="ES121" s="28"/>
      <c r="ET121" s="52">
        <f t="shared" si="337"/>
        <v>0</v>
      </c>
      <c r="EU121" s="18">
        <f t="shared" si="337"/>
        <v>0</v>
      </c>
      <c r="EV121" s="18">
        <f t="shared" si="338"/>
        <v>0</v>
      </c>
      <c r="EW121" s="18">
        <f t="shared" si="339"/>
        <v>0</v>
      </c>
      <c r="EX121" s="18">
        <f t="shared" si="340"/>
        <v>0</v>
      </c>
      <c r="EY121" s="18">
        <f t="shared" si="341"/>
        <v>0</v>
      </c>
      <c r="EZ121" s="18">
        <f t="shared" si="342"/>
        <v>0</v>
      </c>
      <c r="FA121" s="18">
        <f t="shared" si="343"/>
        <v>0</v>
      </c>
      <c r="FB121" s="18">
        <f t="shared" si="344"/>
        <v>0</v>
      </c>
      <c r="FC121" s="18">
        <f t="shared" si="345"/>
        <v>0</v>
      </c>
      <c r="FD121" s="18">
        <f t="shared" si="346"/>
        <v>0</v>
      </c>
      <c r="FE121" s="18">
        <f t="shared" si="381"/>
        <v>0</v>
      </c>
      <c r="FF121" s="18">
        <f t="shared" si="382"/>
        <v>0</v>
      </c>
      <c r="FG121" s="18">
        <f t="shared" si="383"/>
        <v>0</v>
      </c>
      <c r="FH121" s="18">
        <f t="shared" si="384"/>
        <v>0</v>
      </c>
      <c r="FI121" s="18">
        <f t="shared" si="385"/>
        <v>0</v>
      </c>
      <c r="FJ121" s="18">
        <f t="shared" si="386"/>
        <v>0</v>
      </c>
      <c r="FK121" s="18">
        <f t="shared" si="387"/>
        <v>0</v>
      </c>
      <c r="FL121" s="18">
        <f t="shared" si="388"/>
        <v>0</v>
      </c>
      <c r="FM121" s="18">
        <f t="shared" si="389"/>
        <v>0</v>
      </c>
      <c r="FN121" s="18">
        <f t="shared" si="390"/>
        <v>0</v>
      </c>
      <c r="FO121" s="18">
        <f t="shared" si="391"/>
        <v>0</v>
      </c>
      <c r="FP121" s="18">
        <f t="shared" si="392"/>
        <v>0</v>
      </c>
      <c r="FQ121" s="18">
        <f t="shared" si="393"/>
        <v>0</v>
      </c>
      <c r="FR121" s="18">
        <f t="shared" si="394"/>
        <v>0</v>
      </c>
      <c r="FS121" s="52">
        <f t="shared" si="395"/>
        <v>63.767716417742506</v>
      </c>
    </row>
    <row r="122" spans="5:175">
      <c r="E122" s="4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57">
        <f t="shared" si="396"/>
        <v>0</v>
      </c>
      <c r="V122">
        <f t="shared" si="396"/>
        <v>0</v>
      </c>
      <c r="W122">
        <f t="shared" si="396"/>
        <v>0</v>
      </c>
      <c r="X122">
        <f t="shared" si="396"/>
        <v>0</v>
      </c>
      <c r="Y122">
        <f t="shared" si="396"/>
        <v>0</v>
      </c>
      <c r="Z122">
        <f t="shared" si="396"/>
        <v>0</v>
      </c>
      <c r="AA122">
        <f t="shared" si="396"/>
        <v>0</v>
      </c>
      <c r="AB122">
        <f t="shared" si="396"/>
        <v>0</v>
      </c>
      <c r="AC122">
        <f t="shared" si="396"/>
        <v>0</v>
      </c>
      <c r="AD122">
        <f t="shared" si="396"/>
        <v>0</v>
      </c>
      <c r="AE122">
        <f t="shared" si="396"/>
        <v>0</v>
      </c>
      <c r="AF122">
        <f t="shared" si="396"/>
        <v>0</v>
      </c>
      <c r="AG122">
        <f t="shared" si="396"/>
        <v>0</v>
      </c>
      <c r="AH122">
        <f t="shared" si="396"/>
        <v>0</v>
      </c>
      <c r="AI122">
        <f t="shared" si="396"/>
        <v>0</v>
      </c>
      <c r="AJ122">
        <f t="shared" si="396"/>
        <v>0</v>
      </c>
      <c r="AK122">
        <f t="shared" si="396"/>
        <v>0</v>
      </c>
      <c r="AL122">
        <f t="shared" si="396"/>
        <v>0</v>
      </c>
      <c r="AM122">
        <f t="shared" si="396"/>
        <v>0</v>
      </c>
      <c r="AN122">
        <f t="shared" si="396"/>
        <v>0</v>
      </c>
      <c r="AO122">
        <f t="shared" si="396"/>
        <v>0</v>
      </c>
      <c r="AP122">
        <f t="shared" si="396"/>
        <v>0</v>
      </c>
      <c r="AQ122">
        <f t="shared" si="396"/>
        <v>0</v>
      </c>
      <c r="AR122">
        <f t="shared" si="396"/>
        <v>0</v>
      </c>
      <c r="AS122">
        <f t="shared" si="396"/>
        <v>0</v>
      </c>
      <c r="AT122" s="57">
        <f>EB122*AT121+FS122</f>
        <v>113.72258649461777</v>
      </c>
      <c r="AU122" s="58">
        <f t="shared" si="221"/>
        <v>5</v>
      </c>
      <c r="AV122" s="46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50">
        <f t="shared" si="349"/>
        <v>-0.23152037841629408</v>
      </c>
      <c r="BM122">
        <f t="shared" si="237"/>
        <v>-0.23152037841629408</v>
      </c>
      <c r="BN122">
        <f t="shared" si="238"/>
        <v>-0.4293032847738158</v>
      </c>
      <c r="BO122">
        <f t="shared" si="239"/>
        <v>-0.99383080321348638</v>
      </c>
      <c r="BP122">
        <f t="shared" si="240"/>
        <v>-2.4073667157814542</v>
      </c>
      <c r="BQ122">
        <f t="shared" si="241"/>
        <v>-5.877464512761529</v>
      </c>
      <c r="BR122">
        <f t="shared" si="242"/>
        <v>-14.368554506190767</v>
      </c>
      <c r="BS122">
        <f t="shared" si="243"/>
        <v>-35.134393227271829</v>
      </c>
      <c r="BT122">
        <f t="shared" si="244"/>
        <v>-85.914792451113314</v>
      </c>
      <c r="BU122">
        <f t="shared" si="245"/>
        <v>-210.09036088779393</v>
      </c>
      <c r="BV122">
        <f t="shared" si="246"/>
        <v>-513.74163016050989</v>
      </c>
      <c r="BW122">
        <f t="shared" si="351"/>
        <v>-1256.2713835867637</v>
      </c>
      <c r="BX122">
        <f t="shared" si="352"/>
        <v>-3072.0069045537298</v>
      </c>
      <c r="BY122">
        <f t="shared" si="353"/>
        <v>-7512.0922045302523</v>
      </c>
      <c r="BZ122">
        <f t="shared" si="354"/>
        <v>-18369.597168386823</v>
      </c>
      <c r="CA122">
        <f t="shared" si="355"/>
        <v>-44919.856011764299</v>
      </c>
      <c r="CB122">
        <f t="shared" si="356"/>
        <v>-109844.18687394798</v>
      </c>
      <c r="CC122">
        <f t="shared" si="357"/>
        <v>-268606.0566820302</v>
      </c>
      <c r="CD122">
        <f t="shared" si="358"/>
        <v>-656832.33441484591</v>
      </c>
      <c r="CE122">
        <f t="shared" si="359"/>
        <v>-1606176.4238012594</v>
      </c>
      <c r="CF122">
        <f t="shared" si="360"/>
        <v>-3927642.6710529174</v>
      </c>
      <c r="CG122">
        <f t="shared" si="361"/>
        <v>-9604410.0279886369</v>
      </c>
      <c r="CH122">
        <f t="shared" si="362"/>
        <v>-23486019.404356837</v>
      </c>
      <c r="CI122">
        <f t="shared" si="363"/>
        <v>-57431232.720636055</v>
      </c>
      <c r="CJ122">
        <f t="shared" si="364"/>
        <v>-140438719.52179295</v>
      </c>
      <c r="CK122" s="50">
        <f t="shared" si="365"/>
        <v>-343420000</v>
      </c>
      <c r="CM122" s="44"/>
      <c r="CN122" s="28"/>
      <c r="CO122" s="28"/>
      <c r="CP122" s="28"/>
      <c r="CQ122" s="28"/>
      <c r="CR122" s="28"/>
      <c r="CS122" s="28"/>
      <c r="CT122" s="28"/>
      <c r="CU122" s="28"/>
      <c r="CV122" s="28"/>
      <c r="CW122" s="28"/>
      <c r="CX122" s="28"/>
      <c r="CY122" s="28"/>
      <c r="CZ122" s="28"/>
      <c r="DA122" s="28"/>
      <c r="DB122" s="28"/>
      <c r="DC122" s="50">
        <f t="shared" si="327"/>
        <v>0.4095927266858736</v>
      </c>
      <c r="DD122">
        <f t="shared" si="327"/>
        <v>0.4095927266858736</v>
      </c>
      <c r="DE122">
        <f t="shared" si="328"/>
        <v>0.4095927266858736</v>
      </c>
      <c r="DF122">
        <f t="shared" si="329"/>
        <v>0.4095927266858736</v>
      </c>
      <c r="DG122">
        <f t="shared" si="330"/>
        <v>0.4095927266858736</v>
      </c>
      <c r="DH122">
        <f t="shared" si="331"/>
        <v>0.4095927266858736</v>
      </c>
      <c r="DI122">
        <f t="shared" si="332"/>
        <v>0.4095927266858736</v>
      </c>
      <c r="DJ122">
        <f t="shared" si="333"/>
        <v>0.4095927266858736</v>
      </c>
      <c r="DK122">
        <f t="shared" si="334"/>
        <v>0.4095927266858736</v>
      </c>
      <c r="DL122">
        <f t="shared" si="335"/>
        <v>0.4095927266858736</v>
      </c>
      <c r="DM122">
        <f t="shared" si="336"/>
        <v>0.4095927266858736</v>
      </c>
      <c r="DN122">
        <f t="shared" si="366"/>
        <v>0.4095927266858736</v>
      </c>
      <c r="DO122">
        <f t="shared" si="367"/>
        <v>0.4095927266858736</v>
      </c>
      <c r="DP122">
        <f t="shared" si="368"/>
        <v>0.4095927266858736</v>
      </c>
      <c r="DQ122">
        <f t="shared" si="369"/>
        <v>0.4095927266858736</v>
      </c>
      <c r="DR122">
        <f t="shared" si="370"/>
        <v>0.4095927266858736</v>
      </c>
      <c r="DS122">
        <f t="shared" si="371"/>
        <v>0.4095927266858736</v>
      </c>
      <c r="DT122">
        <f t="shared" si="372"/>
        <v>0.4095927266858736</v>
      </c>
      <c r="DU122">
        <f t="shared" si="373"/>
        <v>0.4095927266858736</v>
      </c>
      <c r="DV122">
        <f t="shared" si="374"/>
        <v>0.4095927266858736</v>
      </c>
      <c r="DW122">
        <f t="shared" si="375"/>
        <v>0.4095927266858736</v>
      </c>
      <c r="DX122">
        <f t="shared" si="376"/>
        <v>0.4095927266858736</v>
      </c>
      <c r="DY122">
        <f t="shared" si="377"/>
        <v>0.4095927266858736</v>
      </c>
      <c r="DZ122">
        <f t="shared" si="378"/>
        <v>0.4095927266858736</v>
      </c>
      <c r="EA122">
        <f t="shared" si="379"/>
        <v>0.4095927266858736</v>
      </c>
      <c r="EB122" s="50">
        <f t="shared" si="380"/>
        <v>0.4095927266858736</v>
      </c>
      <c r="EC122" s="58">
        <f t="shared" si="273"/>
        <v>5</v>
      </c>
      <c r="ED122" s="44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  <c r="EQ122" s="28"/>
      <c r="ER122" s="28"/>
      <c r="ES122" s="28"/>
      <c r="ET122" s="52">
        <f t="shared" si="337"/>
        <v>0</v>
      </c>
      <c r="EU122" s="18">
        <f t="shared" si="337"/>
        <v>0</v>
      </c>
      <c r="EV122" s="18">
        <f t="shared" si="338"/>
        <v>0</v>
      </c>
      <c r="EW122" s="18">
        <f t="shared" si="339"/>
        <v>0</v>
      </c>
      <c r="EX122" s="18">
        <f t="shared" si="340"/>
        <v>0</v>
      </c>
      <c r="EY122" s="18">
        <f t="shared" si="341"/>
        <v>0</v>
      </c>
      <c r="EZ122" s="18">
        <f t="shared" si="342"/>
        <v>0</v>
      </c>
      <c r="FA122" s="18">
        <f t="shared" si="343"/>
        <v>0</v>
      </c>
      <c r="FB122" s="18">
        <f t="shared" si="344"/>
        <v>0</v>
      </c>
      <c r="FC122" s="18">
        <f t="shared" si="345"/>
        <v>0</v>
      </c>
      <c r="FD122" s="18">
        <f t="shared" si="346"/>
        <v>0</v>
      </c>
      <c r="FE122" s="18">
        <f t="shared" si="381"/>
        <v>0</v>
      </c>
      <c r="FF122" s="18">
        <f t="shared" si="382"/>
        <v>0</v>
      </c>
      <c r="FG122" s="18">
        <f t="shared" si="383"/>
        <v>0</v>
      </c>
      <c r="FH122" s="18">
        <f t="shared" si="384"/>
        <v>0</v>
      </c>
      <c r="FI122" s="18">
        <f t="shared" si="385"/>
        <v>0</v>
      </c>
      <c r="FJ122" s="18">
        <f t="shared" si="386"/>
        <v>0</v>
      </c>
      <c r="FK122" s="18">
        <f t="shared" si="387"/>
        <v>0</v>
      </c>
      <c r="FL122" s="18">
        <f t="shared" si="388"/>
        <v>0</v>
      </c>
      <c r="FM122" s="18">
        <f t="shared" si="389"/>
        <v>0</v>
      </c>
      <c r="FN122" s="18">
        <f t="shared" si="390"/>
        <v>0</v>
      </c>
      <c r="FO122" s="18">
        <f t="shared" si="391"/>
        <v>0</v>
      </c>
      <c r="FP122" s="18">
        <f t="shared" si="392"/>
        <v>0</v>
      </c>
      <c r="FQ122" s="18">
        <f t="shared" si="393"/>
        <v>0</v>
      </c>
      <c r="FR122" s="18">
        <f t="shared" si="394"/>
        <v>0</v>
      </c>
      <c r="FS122" s="52">
        <f t="shared" si="395"/>
        <v>70.464175247592237</v>
      </c>
    </row>
    <row r="123" spans="5:175">
      <c r="E123" s="4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57">
        <f t="shared" si="396"/>
        <v>0</v>
      </c>
      <c r="V123">
        <f t="shared" si="396"/>
        <v>0</v>
      </c>
      <c r="W123">
        <f t="shared" si="396"/>
        <v>0</v>
      </c>
      <c r="X123">
        <f t="shared" si="396"/>
        <v>0</v>
      </c>
      <c r="Y123">
        <f t="shared" si="396"/>
        <v>0</v>
      </c>
      <c r="Z123">
        <f t="shared" si="396"/>
        <v>0</v>
      </c>
      <c r="AA123">
        <f t="shared" si="396"/>
        <v>0</v>
      </c>
      <c r="AB123">
        <f t="shared" si="396"/>
        <v>0</v>
      </c>
      <c r="AC123">
        <f t="shared" si="396"/>
        <v>0</v>
      </c>
      <c r="AD123">
        <f t="shared" si="396"/>
        <v>0</v>
      </c>
      <c r="AE123">
        <f t="shared" si="396"/>
        <v>0</v>
      </c>
      <c r="AF123">
        <f t="shared" si="396"/>
        <v>0</v>
      </c>
      <c r="AG123">
        <f t="shared" si="396"/>
        <v>0</v>
      </c>
      <c r="AH123">
        <f t="shared" si="396"/>
        <v>0</v>
      </c>
      <c r="AI123">
        <f t="shared" si="396"/>
        <v>0</v>
      </c>
      <c r="AJ123">
        <f t="shared" si="396"/>
        <v>0</v>
      </c>
      <c r="AK123">
        <f t="shared" si="396"/>
        <v>0</v>
      </c>
      <c r="AL123">
        <f t="shared" si="396"/>
        <v>0</v>
      </c>
      <c r="AM123">
        <f t="shared" si="396"/>
        <v>0</v>
      </c>
      <c r="AN123">
        <f t="shared" si="396"/>
        <v>0</v>
      </c>
      <c r="AO123">
        <f t="shared" si="396"/>
        <v>0</v>
      </c>
      <c r="AP123">
        <f t="shared" si="396"/>
        <v>0</v>
      </c>
      <c r="AQ123">
        <f t="shared" si="396"/>
        <v>0</v>
      </c>
      <c r="AR123">
        <f t="shared" si="396"/>
        <v>0</v>
      </c>
      <c r="AS123">
        <f t="shared" si="396"/>
        <v>0</v>
      </c>
      <c r="AT123" s="57">
        <f t="shared" si="397"/>
        <v>133.55485409401626</v>
      </c>
      <c r="AU123" s="58">
        <f t="shared" si="221"/>
        <v>4</v>
      </c>
      <c r="AV123" s="46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50">
        <f t="shared" si="349"/>
        <v>-0.23152037841629408</v>
      </c>
      <c r="BM123">
        <f t="shared" si="237"/>
        <v>-0.23152037841629408</v>
      </c>
      <c r="BN123">
        <f t="shared" si="238"/>
        <v>-0.4293032847738158</v>
      </c>
      <c r="BO123">
        <f t="shared" si="239"/>
        <v>-0.99383080321348638</v>
      </c>
      <c r="BP123">
        <f t="shared" si="240"/>
        <v>-2.4073667157814542</v>
      </c>
      <c r="BQ123">
        <f t="shared" si="241"/>
        <v>-5.877464512761529</v>
      </c>
      <c r="BR123">
        <f t="shared" si="242"/>
        <v>-14.368554506190767</v>
      </c>
      <c r="BS123">
        <f t="shared" si="243"/>
        <v>-35.134393227271829</v>
      </c>
      <c r="BT123">
        <f t="shared" si="244"/>
        <v>-85.914792451113314</v>
      </c>
      <c r="BU123">
        <f t="shared" si="245"/>
        <v>-210.09036088779393</v>
      </c>
      <c r="BV123">
        <f t="shared" si="246"/>
        <v>-513.74163016050989</v>
      </c>
      <c r="BW123">
        <f t="shared" si="351"/>
        <v>-1256.2713835867637</v>
      </c>
      <c r="BX123">
        <f t="shared" si="352"/>
        <v>-3072.0069045537298</v>
      </c>
      <c r="BY123">
        <f t="shared" si="353"/>
        <v>-7512.0922045302523</v>
      </c>
      <c r="BZ123">
        <f t="shared" si="354"/>
        <v>-18369.597168386823</v>
      </c>
      <c r="CA123">
        <f t="shared" si="355"/>
        <v>-44919.856011764299</v>
      </c>
      <c r="CB123">
        <f t="shared" si="356"/>
        <v>-109844.18687394798</v>
      </c>
      <c r="CC123">
        <f t="shared" si="357"/>
        <v>-268606.0566820302</v>
      </c>
      <c r="CD123">
        <f t="shared" si="358"/>
        <v>-656832.33441484591</v>
      </c>
      <c r="CE123">
        <f t="shared" si="359"/>
        <v>-1606176.4238012594</v>
      </c>
      <c r="CF123">
        <f t="shared" si="360"/>
        <v>-3927642.6710529174</v>
      </c>
      <c r="CG123">
        <f t="shared" si="361"/>
        <v>-9604410.0279886369</v>
      </c>
      <c r="CH123">
        <f t="shared" si="362"/>
        <v>-23486019.404356837</v>
      </c>
      <c r="CI123">
        <f t="shared" si="363"/>
        <v>-57431232.720636055</v>
      </c>
      <c r="CJ123">
        <f t="shared" si="364"/>
        <v>-140438719.52179295</v>
      </c>
      <c r="CK123" s="50">
        <f t="shared" si="365"/>
        <v>-343420000</v>
      </c>
      <c r="CM123" s="44"/>
      <c r="CN123" s="28"/>
      <c r="CO123" s="28"/>
      <c r="CP123" s="28"/>
      <c r="CQ123" s="28"/>
      <c r="CR123" s="28"/>
      <c r="CS123" s="28"/>
      <c r="CT123" s="28"/>
      <c r="CU123" s="28"/>
      <c r="CV123" s="28"/>
      <c r="CW123" s="28"/>
      <c r="CX123" s="28"/>
      <c r="CY123" s="28"/>
      <c r="CZ123" s="28"/>
      <c r="DA123" s="28"/>
      <c r="DB123" s="28"/>
      <c r="DC123" s="50">
        <f t="shared" si="327"/>
        <v>0.41282900386486376</v>
      </c>
      <c r="DD123">
        <f t="shared" si="327"/>
        <v>0.41282900386486376</v>
      </c>
      <c r="DE123">
        <f t="shared" si="328"/>
        <v>0.41282900386486376</v>
      </c>
      <c r="DF123">
        <f t="shared" si="329"/>
        <v>0.41282900386486376</v>
      </c>
      <c r="DG123">
        <f t="shared" si="330"/>
        <v>0.41282900386486376</v>
      </c>
      <c r="DH123">
        <f t="shared" si="331"/>
        <v>0.41282900386486376</v>
      </c>
      <c r="DI123">
        <f t="shared" si="332"/>
        <v>0.41282900386486376</v>
      </c>
      <c r="DJ123">
        <f t="shared" si="333"/>
        <v>0.41282900386486376</v>
      </c>
      <c r="DK123">
        <f t="shared" si="334"/>
        <v>0.41282900386486376</v>
      </c>
      <c r="DL123">
        <f t="shared" si="335"/>
        <v>0.41282900386486376</v>
      </c>
      <c r="DM123">
        <f t="shared" si="336"/>
        <v>0.41282900386486376</v>
      </c>
      <c r="DN123">
        <f t="shared" si="366"/>
        <v>0.41282900386486376</v>
      </c>
      <c r="DO123">
        <f t="shared" si="367"/>
        <v>0.41282900386486376</v>
      </c>
      <c r="DP123">
        <f t="shared" si="368"/>
        <v>0.41282900386486376</v>
      </c>
      <c r="DQ123">
        <f t="shared" si="369"/>
        <v>0.41282900386486376</v>
      </c>
      <c r="DR123">
        <f t="shared" si="370"/>
        <v>0.41282900386486376</v>
      </c>
      <c r="DS123">
        <f t="shared" si="371"/>
        <v>0.41282900386486376</v>
      </c>
      <c r="DT123">
        <f t="shared" si="372"/>
        <v>0.41282900386486376</v>
      </c>
      <c r="DU123">
        <f t="shared" si="373"/>
        <v>0.41282900386486376</v>
      </c>
      <c r="DV123">
        <f t="shared" si="374"/>
        <v>0.41282900386486376</v>
      </c>
      <c r="DW123">
        <f t="shared" si="375"/>
        <v>0.41282900386486376</v>
      </c>
      <c r="DX123">
        <f t="shared" si="376"/>
        <v>0.41282900386486376</v>
      </c>
      <c r="DY123">
        <f t="shared" si="377"/>
        <v>0.41282900386486376</v>
      </c>
      <c r="DZ123">
        <f t="shared" si="378"/>
        <v>0.41282900386486376</v>
      </c>
      <c r="EA123">
        <f t="shared" si="379"/>
        <v>0.41282900386486376</v>
      </c>
      <c r="EB123" s="50">
        <f t="shared" si="380"/>
        <v>0.41282900386486376</v>
      </c>
      <c r="EC123" s="58">
        <f t="shared" si="273"/>
        <v>4</v>
      </c>
      <c r="ED123" s="44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  <c r="EQ123" s="28"/>
      <c r="ER123" s="28"/>
      <c r="ES123" s="28"/>
      <c r="ET123" s="52">
        <f t="shared" si="337"/>
        <v>0</v>
      </c>
      <c r="EU123" s="18">
        <f t="shared" si="337"/>
        <v>0</v>
      </c>
      <c r="EV123" s="18">
        <f t="shared" si="338"/>
        <v>0</v>
      </c>
      <c r="EW123" s="18">
        <f t="shared" si="339"/>
        <v>0</v>
      </c>
      <c r="EX123" s="18">
        <f t="shared" si="340"/>
        <v>0</v>
      </c>
      <c r="EY123" s="18">
        <f t="shared" si="341"/>
        <v>0</v>
      </c>
      <c r="EZ123" s="18">
        <f t="shared" si="342"/>
        <v>0</v>
      </c>
      <c r="FA123" s="18">
        <f t="shared" si="343"/>
        <v>0</v>
      </c>
      <c r="FB123" s="18">
        <f t="shared" si="344"/>
        <v>0</v>
      </c>
      <c r="FC123" s="18">
        <f t="shared" si="345"/>
        <v>0</v>
      </c>
      <c r="FD123" s="18">
        <f t="shared" si="346"/>
        <v>0</v>
      </c>
      <c r="FE123" s="18">
        <f t="shared" si="381"/>
        <v>0</v>
      </c>
      <c r="FF123" s="18">
        <f t="shared" si="382"/>
        <v>0</v>
      </c>
      <c r="FG123" s="18">
        <f t="shared" si="383"/>
        <v>0</v>
      </c>
      <c r="FH123" s="18">
        <f t="shared" si="384"/>
        <v>0</v>
      </c>
      <c r="FI123" s="18">
        <f t="shared" si="385"/>
        <v>0</v>
      </c>
      <c r="FJ123" s="18">
        <f t="shared" si="386"/>
        <v>0</v>
      </c>
      <c r="FK123" s="18">
        <f t="shared" si="387"/>
        <v>0</v>
      </c>
      <c r="FL123" s="18">
        <f t="shared" si="388"/>
        <v>0</v>
      </c>
      <c r="FM123" s="18">
        <f t="shared" si="389"/>
        <v>0</v>
      </c>
      <c r="FN123" s="18">
        <f t="shared" si="390"/>
        <v>0</v>
      </c>
      <c r="FO123" s="18">
        <f t="shared" si="391"/>
        <v>0</v>
      </c>
      <c r="FP123" s="18">
        <f t="shared" si="392"/>
        <v>0</v>
      </c>
      <c r="FQ123" s="18">
        <f t="shared" si="393"/>
        <v>0</v>
      </c>
      <c r="FR123" s="18">
        <f t="shared" si="394"/>
        <v>0</v>
      </c>
      <c r="FS123" s="52">
        <f t="shared" si="395"/>
        <v>86.606871994507387</v>
      </c>
    </row>
    <row r="124" spans="5:175">
      <c r="E124" s="4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57">
        <f t="shared" si="396"/>
        <v>0</v>
      </c>
      <c r="V124">
        <f t="shared" si="396"/>
        <v>0</v>
      </c>
      <c r="W124">
        <f t="shared" si="396"/>
        <v>0</v>
      </c>
      <c r="X124">
        <f t="shared" si="396"/>
        <v>0</v>
      </c>
      <c r="Y124">
        <f t="shared" si="396"/>
        <v>0</v>
      </c>
      <c r="Z124">
        <f t="shared" si="396"/>
        <v>0</v>
      </c>
      <c r="AA124">
        <f t="shared" si="396"/>
        <v>0</v>
      </c>
      <c r="AB124">
        <f t="shared" si="396"/>
        <v>0</v>
      </c>
      <c r="AC124">
        <f t="shared" si="396"/>
        <v>0</v>
      </c>
      <c r="AD124">
        <f t="shared" si="396"/>
        <v>0</v>
      </c>
      <c r="AE124">
        <f t="shared" si="396"/>
        <v>0</v>
      </c>
      <c r="AF124">
        <f t="shared" si="396"/>
        <v>0</v>
      </c>
      <c r="AG124">
        <f t="shared" si="396"/>
        <v>0</v>
      </c>
      <c r="AH124">
        <f t="shared" si="396"/>
        <v>0</v>
      </c>
      <c r="AI124">
        <f t="shared" si="396"/>
        <v>0</v>
      </c>
      <c r="AJ124">
        <f t="shared" si="396"/>
        <v>0</v>
      </c>
      <c r="AK124">
        <f t="shared" si="396"/>
        <v>0</v>
      </c>
      <c r="AL124">
        <f t="shared" si="396"/>
        <v>0</v>
      </c>
      <c r="AM124">
        <f t="shared" si="396"/>
        <v>0</v>
      </c>
      <c r="AN124">
        <f t="shared" si="396"/>
        <v>0</v>
      </c>
      <c r="AO124">
        <f t="shared" si="396"/>
        <v>0</v>
      </c>
      <c r="AP124">
        <f t="shared" si="396"/>
        <v>0</v>
      </c>
      <c r="AQ124">
        <f t="shared" si="396"/>
        <v>0</v>
      </c>
      <c r="AR124">
        <f t="shared" si="396"/>
        <v>0</v>
      </c>
      <c r="AS124">
        <f t="shared" si="396"/>
        <v>0</v>
      </c>
      <c r="AT124" s="57">
        <f t="shared" si="397"/>
        <v>182.05231570577064</v>
      </c>
      <c r="AU124" s="58">
        <f t="shared" si="221"/>
        <v>3</v>
      </c>
      <c r="AV124" s="46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50">
        <f t="shared" si="349"/>
        <v>-0.23152037841629408</v>
      </c>
      <c r="BM124">
        <f t="shared" si="237"/>
        <v>-0.23152037841629408</v>
      </c>
      <c r="BN124">
        <f t="shared" si="238"/>
        <v>-0.4293032847738158</v>
      </c>
      <c r="BO124">
        <f t="shared" si="239"/>
        <v>-0.99383080321348638</v>
      </c>
      <c r="BP124">
        <f t="shared" si="240"/>
        <v>-2.4073667157814542</v>
      </c>
      <c r="BQ124">
        <f t="shared" si="241"/>
        <v>-5.877464512761529</v>
      </c>
      <c r="BR124">
        <f t="shared" si="242"/>
        <v>-14.368554506190767</v>
      </c>
      <c r="BS124">
        <f t="shared" si="243"/>
        <v>-35.134393227271829</v>
      </c>
      <c r="BT124">
        <f t="shared" si="244"/>
        <v>-85.914792451113314</v>
      </c>
      <c r="BU124">
        <f t="shared" si="245"/>
        <v>-210.09036088779393</v>
      </c>
      <c r="BV124">
        <f t="shared" si="246"/>
        <v>-513.74163016050989</v>
      </c>
      <c r="BW124">
        <f t="shared" si="351"/>
        <v>-1256.2713835867637</v>
      </c>
      <c r="BX124">
        <f t="shared" si="352"/>
        <v>-3072.0069045537298</v>
      </c>
      <c r="BY124">
        <f t="shared" si="353"/>
        <v>-7512.0922045302523</v>
      </c>
      <c r="BZ124">
        <f t="shared" si="354"/>
        <v>-18369.597168386823</v>
      </c>
      <c r="CA124">
        <f t="shared" si="355"/>
        <v>-44919.856011764299</v>
      </c>
      <c r="CB124">
        <f t="shared" si="356"/>
        <v>-109844.18687394798</v>
      </c>
      <c r="CC124">
        <f t="shared" si="357"/>
        <v>-268606.0566820302</v>
      </c>
      <c r="CD124">
        <f t="shared" si="358"/>
        <v>-656832.33441484591</v>
      </c>
      <c r="CE124">
        <f t="shared" si="359"/>
        <v>-1606176.4238012594</v>
      </c>
      <c r="CF124">
        <f t="shared" si="360"/>
        <v>-3927642.6710529174</v>
      </c>
      <c r="CG124">
        <f t="shared" si="361"/>
        <v>-9604410.0279886369</v>
      </c>
      <c r="CH124">
        <f t="shared" si="362"/>
        <v>-23486019.404356837</v>
      </c>
      <c r="CI124">
        <f t="shared" si="363"/>
        <v>-57431232.720636055</v>
      </c>
      <c r="CJ124">
        <f t="shared" si="364"/>
        <v>-140438719.52179295</v>
      </c>
      <c r="CK124" s="50">
        <f t="shared" si="365"/>
        <v>-343420000</v>
      </c>
      <c r="CM124" s="44"/>
      <c r="CN124" s="28"/>
      <c r="CO124" s="28"/>
      <c r="CP124" s="28"/>
      <c r="CQ124" s="28"/>
      <c r="CR124" s="28"/>
      <c r="CS124" s="28"/>
      <c r="CT124" s="28"/>
      <c r="CU124" s="28"/>
      <c r="CV124" s="28"/>
      <c r="CW124" s="28"/>
      <c r="CX124" s="28"/>
      <c r="CY124" s="28"/>
      <c r="CZ124" s="28"/>
      <c r="DA124" s="28"/>
      <c r="DB124" s="28"/>
      <c r="DC124" s="50">
        <f t="shared" si="327"/>
        <v>0.4319681814909459</v>
      </c>
      <c r="DD124">
        <f t="shared" si="327"/>
        <v>0.4319681814909459</v>
      </c>
      <c r="DE124">
        <f t="shared" si="328"/>
        <v>0.4319681814909459</v>
      </c>
      <c r="DF124">
        <f t="shared" si="329"/>
        <v>0.4319681814909459</v>
      </c>
      <c r="DG124">
        <f t="shared" si="330"/>
        <v>0.4319681814909459</v>
      </c>
      <c r="DH124">
        <f t="shared" si="331"/>
        <v>0.4319681814909459</v>
      </c>
      <c r="DI124">
        <f t="shared" si="332"/>
        <v>0.4319681814909459</v>
      </c>
      <c r="DJ124">
        <f t="shared" si="333"/>
        <v>0.4319681814909459</v>
      </c>
      <c r="DK124">
        <f t="shared" si="334"/>
        <v>0.4319681814909459</v>
      </c>
      <c r="DL124">
        <f t="shared" si="335"/>
        <v>0.4319681814909459</v>
      </c>
      <c r="DM124">
        <f t="shared" si="336"/>
        <v>0.4319681814909459</v>
      </c>
      <c r="DN124">
        <f t="shared" si="366"/>
        <v>0.4319681814909459</v>
      </c>
      <c r="DO124">
        <f t="shared" si="367"/>
        <v>0.4319681814909459</v>
      </c>
      <c r="DP124">
        <f t="shared" si="368"/>
        <v>0.4319681814909459</v>
      </c>
      <c r="DQ124">
        <f t="shared" si="369"/>
        <v>0.4319681814909459</v>
      </c>
      <c r="DR124">
        <f t="shared" si="370"/>
        <v>0.4319681814909459</v>
      </c>
      <c r="DS124">
        <f t="shared" si="371"/>
        <v>0.4319681814909459</v>
      </c>
      <c r="DT124">
        <f t="shared" si="372"/>
        <v>0.4319681814909459</v>
      </c>
      <c r="DU124">
        <f t="shared" si="373"/>
        <v>0.4319681814909459</v>
      </c>
      <c r="DV124">
        <f t="shared" si="374"/>
        <v>0.4319681814909459</v>
      </c>
      <c r="DW124">
        <f t="shared" si="375"/>
        <v>0.4319681814909459</v>
      </c>
      <c r="DX124">
        <f t="shared" si="376"/>
        <v>0.4319681814909459</v>
      </c>
      <c r="DY124">
        <f t="shared" si="377"/>
        <v>0.4319681814909459</v>
      </c>
      <c r="DZ124">
        <f t="shared" si="378"/>
        <v>0.4319681814909459</v>
      </c>
      <c r="EA124">
        <f t="shared" si="379"/>
        <v>0.4319681814909459</v>
      </c>
      <c r="EB124" s="50">
        <f t="shared" si="380"/>
        <v>0.4319681814909459</v>
      </c>
      <c r="EC124" s="58">
        <f t="shared" si="273"/>
        <v>3</v>
      </c>
      <c r="ED124" s="44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  <c r="EQ124" s="28"/>
      <c r="ER124" s="28"/>
      <c r="ES124" s="28"/>
      <c r="ET124" s="52">
        <f t="shared" si="337"/>
        <v>0</v>
      </c>
      <c r="EU124" s="18">
        <f t="shared" si="337"/>
        <v>0</v>
      </c>
      <c r="EV124" s="18">
        <f t="shared" si="338"/>
        <v>0</v>
      </c>
      <c r="EW124" s="18">
        <f t="shared" si="339"/>
        <v>0</v>
      </c>
      <c r="EX124" s="18">
        <f t="shared" si="340"/>
        <v>0</v>
      </c>
      <c r="EY124" s="18">
        <f t="shared" si="341"/>
        <v>0</v>
      </c>
      <c r="EZ124" s="18">
        <f t="shared" si="342"/>
        <v>0</v>
      </c>
      <c r="FA124" s="18">
        <f t="shared" si="343"/>
        <v>0</v>
      </c>
      <c r="FB124" s="18">
        <f t="shared" si="344"/>
        <v>0</v>
      </c>
      <c r="FC124" s="18">
        <f t="shared" si="345"/>
        <v>0</v>
      </c>
      <c r="FD124" s="18">
        <f t="shared" si="346"/>
        <v>0</v>
      </c>
      <c r="FE124" s="18">
        <f t="shared" si="381"/>
        <v>0</v>
      </c>
      <c r="FF124" s="18">
        <f t="shared" si="382"/>
        <v>0</v>
      </c>
      <c r="FG124" s="18">
        <f t="shared" si="383"/>
        <v>0</v>
      </c>
      <c r="FH124" s="18">
        <f t="shared" si="384"/>
        <v>0</v>
      </c>
      <c r="FI124" s="18">
        <f t="shared" si="385"/>
        <v>0</v>
      </c>
      <c r="FJ124" s="18">
        <f t="shared" si="386"/>
        <v>0</v>
      </c>
      <c r="FK124" s="18">
        <f t="shared" si="387"/>
        <v>0</v>
      </c>
      <c r="FL124" s="18">
        <f t="shared" si="388"/>
        <v>0</v>
      </c>
      <c r="FM124" s="18">
        <f t="shared" si="389"/>
        <v>0</v>
      </c>
      <c r="FN124" s="18">
        <f t="shared" si="390"/>
        <v>0</v>
      </c>
      <c r="FO124" s="18">
        <f t="shared" si="391"/>
        <v>0</v>
      </c>
      <c r="FP124" s="18">
        <f t="shared" si="392"/>
        <v>0</v>
      </c>
      <c r="FQ124" s="18">
        <f t="shared" si="393"/>
        <v>0</v>
      </c>
      <c r="FR124" s="18">
        <f t="shared" si="394"/>
        <v>0</v>
      </c>
      <c r="FS124" s="52">
        <f t="shared" si="395"/>
        <v>124.36086825348983</v>
      </c>
    </row>
    <row r="125" spans="5:175">
      <c r="E125" s="4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57">
        <f t="shared" si="396"/>
        <v>0</v>
      </c>
      <c r="V125">
        <f t="shared" si="396"/>
        <v>0</v>
      </c>
      <c r="W125">
        <f t="shared" si="396"/>
        <v>0</v>
      </c>
      <c r="X125">
        <f t="shared" si="396"/>
        <v>0</v>
      </c>
      <c r="Y125">
        <f t="shared" si="396"/>
        <v>0</v>
      </c>
      <c r="Z125">
        <f t="shared" si="396"/>
        <v>0</v>
      </c>
      <c r="AA125">
        <f t="shared" si="396"/>
        <v>0</v>
      </c>
      <c r="AB125">
        <f t="shared" si="396"/>
        <v>0</v>
      </c>
      <c r="AC125">
        <f t="shared" si="396"/>
        <v>0</v>
      </c>
      <c r="AD125">
        <f t="shared" si="396"/>
        <v>0</v>
      </c>
      <c r="AE125">
        <f t="shared" si="396"/>
        <v>0</v>
      </c>
      <c r="AF125">
        <f t="shared" si="396"/>
        <v>0</v>
      </c>
      <c r="AG125">
        <f t="shared" si="396"/>
        <v>0</v>
      </c>
      <c r="AH125">
        <f t="shared" si="396"/>
        <v>0</v>
      </c>
      <c r="AI125">
        <f t="shared" si="396"/>
        <v>0</v>
      </c>
      <c r="AJ125">
        <f t="shared" si="396"/>
        <v>0</v>
      </c>
      <c r="AK125">
        <f t="shared" si="396"/>
        <v>0</v>
      </c>
      <c r="AL125">
        <f t="shared" si="396"/>
        <v>0</v>
      </c>
      <c r="AM125">
        <f t="shared" si="396"/>
        <v>0</v>
      </c>
      <c r="AN125">
        <f t="shared" si="396"/>
        <v>0</v>
      </c>
      <c r="AO125">
        <f t="shared" si="396"/>
        <v>0</v>
      </c>
      <c r="AP125">
        <f t="shared" si="396"/>
        <v>0</v>
      </c>
      <c r="AQ125">
        <f t="shared" si="396"/>
        <v>0</v>
      </c>
      <c r="AR125">
        <f t="shared" si="396"/>
        <v>0</v>
      </c>
      <c r="AS125">
        <f t="shared" si="396"/>
        <v>0</v>
      </c>
      <c r="AT125" s="57">
        <f t="shared" si="397"/>
        <v>300.64531527691742</v>
      </c>
      <c r="AU125" s="58">
        <f>AU126+1</f>
        <v>2</v>
      </c>
      <c r="AV125" s="46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50">
        <f t="shared" si="349"/>
        <v>-0.23152037841629408</v>
      </c>
      <c r="BM125">
        <f t="shared" si="237"/>
        <v>-0.23152037841629408</v>
      </c>
      <c r="BN125">
        <f t="shared" si="238"/>
        <v>-0.4293032847738158</v>
      </c>
      <c r="BO125">
        <f t="shared" si="239"/>
        <v>-0.99383080321348638</v>
      </c>
      <c r="BP125">
        <f t="shared" si="240"/>
        <v>-2.4073667157814542</v>
      </c>
      <c r="BQ125">
        <f t="shared" si="241"/>
        <v>-5.877464512761529</v>
      </c>
      <c r="BR125">
        <f t="shared" si="242"/>
        <v>-14.368554506190767</v>
      </c>
      <c r="BS125">
        <f t="shared" si="243"/>
        <v>-35.134393227271829</v>
      </c>
      <c r="BT125">
        <f t="shared" si="244"/>
        <v>-85.914792451113314</v>
      </c>
      <c r="BU125">
        <f t="shared" si="245"/>
        <v>-210.09036088779393</v>
      </c>
      <c r="BV125">
        <f t="shared" si="246"/>
        <v>-513.74163016050989</v>
      </c>
      <c r="BW125">
        <f t="shared" si="351"/>
        <v>-1256.2713835867637</v>
      </c>
      <c r="BX125">
        <f t="shared" si="352"/>
        <v>-3072.0069045537298</v>
      </c>
      <c r="BY125">
        <f t="shared" si="353"/>
        <v>-7512.0922045302523</v>
      </c>
      <c r="BZ125">
        <f t="shared" si="354"/>
        <v>-18369.597168386823</v>
      </c>
      <c r="CA125">
        <f t="shared" si="355"/>
        <v>-44919.856011764299</v>
      </c>
      <c r="CB125">
        <f t="shared" si="356"/>
        <v>-109844.18687394798</v>
      </c>
      <c r="CC125">
        <f t="shared" si="357"/>
        <v>-268606.0566820302</v>
      </c>
      <c r="CD125">
        <f t="shared" si="358"/>
        <v>-656832.33441484591</v>
      </c>
      <c r="CE125">
        <f t="shared" si="359"/>
        <v>-1606176.4238012594</v>
      </c>
      <c r="CF125">
        <f t="shared" si="360"/>
        <v>-3927642.6710529174</v>
      </c>
      <c r="CG125">
        <f t="shared" si="361"/>
        <v>-9604410.0279886369</v>
      </c>
      <c r="CH125">
        <f t="shared" si="362"/>
        <v>-23486019.404356837</v>
      </c>
      <c r="CI125">
        <f t="shared" si="363"/>
        <v>-57431232.720636055</v>
      </c>
      <c r="CJ125">
        <f t="shared" si="364"/>
        <v>-140438719.52179295</v>
      </c>
      <c r="CK125" s="50">
        <f t="shared" si="365"/>
        <v>-343420000</v>
      </c>
      <c r="CM125" s="44"/>
      <c r="CN125" s="28"/>
      <c r="CO125" s="28"/>
      <c r="CP125" s="28"/>
      <c r="CQ125" s="28"/>
      <c r="CR125" s="28"/>
      <c r="CS125" s="28"/>
      <c r="CT125" s="28"/>
      <c r="CU125" s="28"/>
      <c r="CV125" s="28"/>
      <c r="CW125" s="28"/>
      <c r="CX125" s="28"/>
      <c r="CY125" s="28"/>
      <c r="CZ125" s="28"/>
      <c r="DA125" s="28"/>
      <c r="DB125" s="28"/>
      <c r="DC125" s="50">
        <f t="shared" si="327"/>
        <v>0.539293284322932</v>
      </c>
      <c r="DD125">
        <f t="shared" si="327"/>
        <v>0.539293284322932</v>
      </c>
      <c r="DE125">
        <f t="shared" si="328"/>
        <v>0.539293284322932</v>
      </c>
      <c r="DF125">
        <f t="shared" si="329"/>
        <v>0.539293284322932</v>
      </c>
      <c r="DG125">
        <f t="shared" si="330"/>
        <v>0.539293284322932</v>
      </c>
      <c r="DH125">
        <f t="shared" si="331"/>
        <v>0.539293284322932</v>
      </c>
      <c r="DI125">
        <f t="shared" si="332"/>
        <v>0.539293284322932</v>
      </c>
      <c r="DJ125">
        <f t="shared" si="333"/>
        <v>0.539293284322932</v>
      </c>
      <c r="DK125">
        <f t="shared" si="334"/>
        <v>0.539293284322932</v>
      </c>
      <c r="DL125">
        <f t="shared" si="335"/>
        <v>0.539293284322932</v>
      </c>
      <c r="DM125">
        <f t="shared" si="336"/>
        <v>0.539293284322932</v>
      </c>
      <c r="DN125">
        <f t="shared" si="366"/>
        <v>0.539293284322932</v>
      </c>
      <c r="DO125">
        <f t="shared" si="367"/>
        <v>0.539293284322932</v>
      </c>
      <c r="DP125">
        <f t="shared" si="368"/>
        <v>0.539293284322932</v>
      </c>
      <c r="DQ125">
        <f t="shared" si="369"/>
        <v>0.539293284322932</v>
      </c>
      <c r="DR125">
        <f t="shared" si="370"/>
        <v>0.539293284322932</v>
      </c>
      <c r="DS125">
        <f t="shared" si="371"/>
        <v>0.539293284322932</v>
      </c>
      <c r="DT125">
        <f t="shared" si="372"/>
        <v>0.539293284322932</v>
      </c>
      <c r="DU125">
        <f t="shared" si="373"/>
        <v>0.539293284322932</v>
      </c>
      <c r="DV125">
        <f t="shared" si="374"/>
        <v>0.539293284322932</v>
      </c>
      <c r="DW125">
        <f t="shared" si="375"/>
        <v>0.539293284322932</v>
      </c>
      <c r="DX125">
        <f t="shared" si="376"/>
        <v>0.539293284322932</v>
      </c>
      <c r="DY125">
        <f t="shared" si="377"/>
        <v>0.539293284322932</v>
      </c>
      <c r="DZ125">
        <f t="shared" si="378"/>
        <v>0.539293284322932</v>
      </c>
      <c r="EA125">
        <f t="shared" si="379"/>
        <v>0.539293284322932</v>
      </c>
      <c r="EB125" s="50">
        <f t="shared" si="380"/>
        <v>0.539293284322932</v>
      </c>
      <c r="EC125" s="58">
        <f>EC126+1</f>
        <v>2</v>
      </c>
      <c r="ED125" s="44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  <c r="EQ125" s="28"/>
      <c r="ER125" s="28"/>
      <c r="ES125" s="28"/>
      <c r="ET125" s="52">
        <f t="shared" si="337"/>
        <v>0</v>
      </c>
      <c r="EU125" s="18">
        <f t="shared" si="337"/>
        <v>0</v>
      </c>
      <c r="EV125" s="18">
        <f t="shared" si="338"/>
        <v>0</v>
      </c>
      <c r="EW125" s="18">
        <f t="shared" si="339"/>
        <v>0</v>
      </c>
      <c r="EX125" s="18">
        <f t="shared" si="340"/>
        <v>0</v>
      </c>
      <c r="EY125" s="18">
        <f t="shared" si="341"/>
        <v>0</v>
      </c>
      <c r="EZ125" s="18">
        <f t="shared" si="342"/>
        <v>0</v>
      </c>
      <c r="FA125" s="18">
        <f t="shared" si="343"/>
        <v>0</v>
      </c>
      <c r="FB125" s="18">
        <f t="shared" si="344"/>
        <v>0</v>
      </c>
      <c r="FC125" s="18">
        <f t="shared" si="345"/>
        <v>0</v>
      </c>
      <c r="FD125" s="18">
        <f t="shared" si="346"/>
        <v>0</v>
      </c>
      <c r="FE125" s="18">
        <f t="shared" si="381"/>
        <v>0</v>
      </c>
      <c r="FF125" s="18">
        <f t="shared" si="382"/>
        <v>0</v>
      </c>
      <c r="FG125" s="18">
        <f t="shared" si="383"/>
        <v>0</v>
      </c>
      <c r="FH125" s="18">
        <f t="shared" si="384"/>
        <v>0</v>
      </c>
      <c r="FI125" s="18">
        <f t="shared" si="385"/>
        <v>0</v>
      </c>
      <c r="FJ125" s="18">
        <f t="shared" si="386"/>
        <v>0</v>
      </c>
      <c r="FK125" s="18">
        <f t="shared" si="387"/>
        <v>0</v>
      </c>
      <c r="FL125" s="18">
        <f t="shared" si="388"/>
        <v>0</v>
      </c>
      <c r="FM125" s="18">
        <f t="shared" si="389"/>
        <v>0</v>
      </c>
      <c r="FN125" s="18">
        <f t="shared" si="390"/>
        <v>0</v>
      </c>
      <c r="FO125" s="18">
        <f t="shared" si="391"/>
        <v>0</v>
      </c>
      <c r="FP125" s="18">
        <f t="shared" si="392"/>
        <v>0</v>
      </c>
      <c r="FQ125" s="18">
        <f t="shared" si="393"/>
        <v>0</v>
      </c>
      <c r="FR125" s="18">
        <f t="shared" si="394"/>
        <v>0</v>
      </c>
      <c r="FS125" s="52">
        <f t="shared" si="395"/>
        <v>202.46572402135709</v>
      </c>
    </row>
    <row r="126" spans="5:175">
      <c r="E126" s="49"/>
      <c r="F126" s="17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1"/>
      <c r="U126" s="57">
        <f t="shared" si="396"/>
        <v>0</v>
      </c>
      <c r="V126" s="57">
        <f t="shared" si="396"/>
        <v>0</v>
      </c>
      <c r="W126" s="57">
        <f t="shared" si="396"/>
        <v>0</v>
      </c>
      <c r="X126" s="57">
        <f t="shared" si="396"/>
        <v>0</v>
      </c>
      <c r="Y126" s="57">
        <f t="shared" si="396"/>
        <v>0</v>
      </c>
      <c r="Z126" s="57">
        <f t="shared" si="396"/>
        <v>0</v>
      </c>
      <c r="AA126" s="57">
        <f t="shared" si="396"/>
        <v>0</v>
      </c>
      <c r="AB126" s="57">
        <f t="shared" si="396"/>
        <v>0</v>
      </c>
      <c r="AC126" s="57">
        <f t="shared" si="396"/>
        <v>0</v>
      </c>
      <c r="AD126" s="57">
        <f t="shared" si="396"/>
        <v>0</v>
      </c>
      <c r="AE126" s="57">
        <f t="shared" si="396"/>
        <v>0</v>
      </c>
      <c r="AF126" s="57">
        <f t="shared" si="396"/>
        <v>0</v>
      </c>
      <c r="AG126" s="57">
        <f t="shared" si="396"/>
        <v>0</v>
      </c>
      <c r="AH126" s="57">
        <f t="shared" si="396"/>
        <v>0</v>
      </c>
      <c r="AI126" s="57">
        <f t="shared" si="396"/>
        <v>0</v>
      </c>
      <c r="AJ126" s="57">
        <f t="shared" si="396"/>
        <v>0</v>
      </c>
      <c r="AK126" s="57">
        <f t="shared" si="396"/>
        <v>0</v>
      </c>
      <c r="AL126" s="57">
        <f t="shared" si="396"/>
        <v>0</v>
      </c>
      <c r="AM126" s="57">
        <f t="shared" si="396"/>
        <v>0</v>
      </c>
      <c r="AN126" s="57">
        <f t="shared" si="396"/>
        <v>0</v>
      </c>
      <c r="AO126" s="57">
        <f t="shared" si="396"/>
        <v>0</v>
      </c>
      <c r="AP126" s="57">
        <f t="shared" si="396"/>
        <v>0</v>
      </c>
      <c r="AQ126" s="57">
        <f t="shared" si="396"/>
        <v>0</v>
      </c>
      <c r="AR126" s="57">
        <f t="shared" si="396"/>
        <v>0</v>
      </c>
      <c r="AS126" s="57">
        <f t="shared" si="396"/>
        <v>0</v>
      </c>
      <c r="AT126" s="57">
        <f>EB126*AT125+FS126</f>
        <v>590.64531527691747</v>
      </c>
      <c r="AU126" s="58">
        <v>1</v>
      </c>
      <c r="AV126" s="47"/>
      <c r="AW126" s="17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1"/>
      <c r="BL126" s="50">
        <f t="shared" si="349"/>
        <v>-0.23152037841629408</v>
      </c>
      <c r="BM126" s="50">
        <f t="shared" si="237"/>
        <v>-0.23152037841629408</v>
      </c>
      <c r="BN126" s="50">
        <f t="shared" si="238"/>
        <v>-0.4293032847738158</v>
      </c>
      <c r="BO126" s="50">
        <f t="shared" si="239"/>
        <v>-0.99383080321348638</v>
      </c>
      <c r="BP126" s="50">
        <f t="shared" si="240"/>
        <v>-2.4073667157814542</v>
      </c>
      <c r="BQ126" s="50">
        <f t="shared" si="241"/>
        <v>-5.877464512761529</v>
      </c>
      <c r="BR126" s="50">
        <f t="shared" si="242"/>
        <v>-14.368554506190767</v>
      </c>
      <c r="BS126" s="50">
        <f t="shared" si="243"/>
        <v>-35.134393227271829</v>
      </c>
      <c r="BT126" s="50">
        <f t="shared" si="244"/>
        <v>-85.914792451113314</v>
      </c>
      <c r="BU126" s="50">
        <f t="shared" si="245"/>
        <v>-210.09036088779393</v>
      </c>
      <c r="BV126" s="50">
        <f t="shared" si="246"/>
        <v>-513.74163016050989</v>
      </c>
      <c r="BW126" s="50">
        <f t="shared" si="351"/>
        <v>-1256.2713835867637</v>
      </c>
      <c r="BX126" s="50">
        <f t="shared" si="352"/>
        <v>-3072.0069045537298</v>
      </c>
      <c r="BY126" s="50">
        <f t="shared" si="353"/>
        <v>-7512.0922045302523</v>
      </c>
      <c r="BZ126" s="50">
        <f t="shared" si="354"/>
        <v>-18369.597168386823</v>
      </c>
      <c r="CA126" s="50">
        <f t="shared" si="355"/>
        <v>-44919.856011764299</v>
      </c>
      <c r="CB126" s="50">
        <f t="shared" si="356"/>
        <v>-109844.18687394798</v>
      </c>
      <c r="CC126" s="50">
        <f t="shared" si="357"/>
        <v>-268606.0566820302</v>
      </c>
      <c r="CD126" s="50">
        <f t="shared" si="358"/>
        <v>-656832.33441484591</v>
      </c>
      <c r="CE126" s="50">
        <f t="shared" si="359"/>
        <v>-1606176.4238012594</v>
      </c>
      <c r="CF126" s="50">
        <f t="shared" si="360"/>
        <v>-3927642.6710529174</v>
      </c>
      <c r="CG126" s="50">
        <f t="shared" si="361"/>
        <v>-9604410.0279886369</v>
      </c>
      <c r="CH126" s="50">
        <f t="shared" si="362"/>
        <v>-23486019.404356837</v>
      </c>
      <c r="CI126" s="50">
        <f t="shared" si="363"/>
        <v>-57431232.720636055</v>
      </c>
      <c r="CJ126" s="50">
        <f t="shared" si="364"/>
        <v>-140438719.52179295</v>
      </c>
      <c r="CK126" s="50">
        <f t="shared" si="365"/>
        <v>-343420000</v>
      </c>
      <c r="CM126" s="45"/>
      <c r="CN126" s="17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  <c r="DB126" s="31"/>
      <c r="DC126" s="52">
        <v>1</v>
      </c>
      <c r="DD126" s="52">
        <v>1</v>
      </c>
      <c r="DE126" s="52">
        <v>1</v>
      </c>
      <c r="DF126" s="52">
        <v>1</v>
      </c>
      <c r="DG126" s="52">
        <v>1</v>
      </c>
      <c r="DH126" s="52">
        <v>1</v>
      </c>
      <c r="DI126" s="52">
        <v>1</v>
      </c>
      <c r="DJ126" s="52">
        <v>1</v>
      </c>
      <c r="DK126" s="52">
        <v>1</v>
      </c>
      <c r="DL126" s="52">
        <v>1</v>
      </c>
      <c r="DM126" s="52">
        <v>1</v>
      </c>
      <c r="DN126" s="52">
        <v>1</v>
      </c>
      <c r="DO126" s="52">
        <v>1</v>
      </c>
      <c r="DP126" s="52">
        <v>1</v>
      </c>
      <c r="DQ126" s="52">
        <v>1</v>
      </c>
      <c r="DR126" s="52">
        <v>1</v>
      </c>
      <c r="DS126" s="52">
        <v>1</v>
      </c>
      <c r="DT126" s="52">
        <v>1</v>
      </c>
      <c r="DU126" s="52">
        <v>1</v>
      </c>
      <c r="DV126" s="52">
        <v>1</v>
      </c>
      <c r="DW126" s="52">
        <v>1</v>
      </c>
      <c r="DX126" s="52">
        <v>1</v>
      </c>
      <c r="DY126" s="52">
        <v>1</v>
      </c>
      <c r="DZ126" s="52">
        <v>1</v>
      </c>
      <c r="EA126" s="52">
        <v>1</v>
      </c>
      <c r="EB126" s="52">
        <v>1</v>
      </c>
      <c r="EC126" s="58">
        <v>1</v>
      </c>
      <c r="ED126" s="45"/>
      <c r="EE126" s="17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1"/>
      <c r="ET126" s="52">
        <v>0</v>
      </c>
      <c r="EU126" s="53">
        <v>0</v>
      </c>
      <c r="EV126" s="52">
        <v>0</v>
      </c>
      <c r="EW126" s="52">
        <v>0</v>
      </c>
      <c r="EX126" s="52">
        <v>0</v>
      </c>
      <c r="EY126" s="52">
        <v>0</v>
      </c>
      <c r="EZ126" s="52">
        <v>0</v>
      </c>
      <c r="FA126" s="52">
        <v>0</v>
      </c>
      <c r="FB126" s="52">
        <v>0</v>
      </c>
      <c r="FC126" s="52">
        <v>0</v>
      </c>
      <c r="FD126" s="52">
        <v>0</v>
      </c>
      <c r="FE126" s="52">
        <v>0</v>
      </c>
      <c r="FF126" s="52">
        <v>0</v>
      </c>
      <c r="FG126" s="52">
        <v>0</v>
      </c>
      <c r="FH126" s="52">
        <v>0</v>
      </c>
      <c r="FI126" s="52">
        <v>0</v>
      </c>
      <c r="FJ126" s="52">
        <v>0</v>
      </c>
      <c r="FK126" s="52">
        <v>0</v>
      </c>
      <c r="FL126" s="52">
        <v>0</v>
      </c>
      <c r="FM126" s="52">
        <v>0</v>
      </c>
      <c r="FN126" s="52">
        <v>0</v>
      </c>
      <c r="FO126" s="52">
        <v>0</v>
      </c>
      <c r="FP126" s="52">
        <v>0</v>
      </c>
      <c r="FQ126" s="52">
        <v>0</v>
      </c>
      <c r="FR126" s="52">
        <v>0</v>
      </c>
      <c r="FS126" s="52">
        <v>290</v>
      </c>
    </row>
  </sheetData>
  <mergeCells count="13">
    <mergeCell ref="ED86:ED126"/>
    <mergeCell ref="A2:A7"/>
    <mergeCell ref="A8:A13"/>
    <mergeCell ref="A15:A18"/>
    <mergeCell ref="A20:A22"/>
    <mergeCell ref="ED44:ED84"/>
    <mergeCell ref="E86:E126"/>
    <mergeCell ref="AV86:AV126"/>
    <mergeCell ref="CM86:CM126"/>
    <mergeCell ref="A24:A26"/>
    <mergeCell ref="E44:E84"/>
    <mergeCell ref="AV44:AV84"/>
    <mergeCell ref="CM44:CM84"/>
  </mergeCells>
  <conditionalFormatting sqref="F2:AE17 U18:AE42 AF32:AT42">
    <cfRule type="colorScale" priority="2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Леонид</dc:creator>
  <cp:lastModifiedBy>Админ</cp:lastModifiedBy>
  <dcterms:created xsi:type="dcterms:W3CDTF">2021-04-18T11:41:33Z</dcterms:created>
  <dcterms:modified xsi:type="dcterms:W3CDTF">2021-04-19T19:53:17Z</dcterms:modified>
</cp:coreProperties>
</file>