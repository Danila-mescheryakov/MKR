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ЭтаКнига" defaultThemeVersion="124226"/>
  <bookViews>
    <workbookView xWindow="360" yWindow="60" windowWidth="7635" windowHeight="10800" activeTab="2"/>
  </bookViews>
  <sheets>
    <sheet name="ГР_1 рода" sheetId="2" r:id="rId1"/>
    <sheet name="ГР_2 рода" sheetId="1" r:id="rId2"/>
    <sheet name="ГР_3 рода" sheetId="3" r:id="rId3"/>
  </sheets>
  <calcPr calcId="125725"/>
</workbook>
</file>

<file path=xl/calcChain.xml><?xml version="1.0" encoding="utf-8"?>
<calcChain xmlns="http://schemas.openxmlformats.org/spreadsheetml/2006/main">
  <c r="AI12" i="3"/>
  <c r="F12"/>
  <c r="AI11"/>
  <c r="AI7"/>
  <c r="F5"/>
  <c r="F5" i="1"/>
  <c r="AJ7" i="3"/>
  <c r="AI7" i="1"/>
  <c r="AH12" i="3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1"/>
  <c r="G10"/>
  <c r="H10" s="1"/>
  <c r="I10" s="1"/>
  <c r="J10" s="1"/>
  <c r="K10" s="1"/>
  <c r="L10" s="1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AB10" s="1"/>
  <c r="AC10" s="1"/>
  <c r="AD10" s="1"/>
  <c r="AE10" s="1"/>
  <c r="AF10" s="1"/>
  <c r="AG10" s="1"/>
  <c r="AH10" s="1"/>
  <c r="AI10" s="1"/>
  <c r="C17"/>
  <c r="C16"/>
  <c r="C15"/>
  <c r="AJ7" i="2"/>
  <c r="C17"/>
  <c r="C16"/>
  <c r="C15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F11"/>
  <c r="G10"/>
  <c r="H10" s="1"/>
  <c r="I10" s="1"/>
  <c r="J10" s="1"/>
  <c r="K10" s="1"/>
  <c r="L10" s="1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AB10" s="1"/>
  <c r="AC10" s="1"/>
  <c r="AD10" s="1"/>
  <c r="AE10" s="1"/>
  <c r="AF10" s="1"/>
  <c r="AG10" s="1"/>
  <c r="AH10" s="1"/>
  <c r="AI10" s="1"/>
  <c r="G11" i="3" l="1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H7" s="1"/>
  <c r="AG7" s="1"/>
  <c r="AF7" s="1"/>
  <c r="AE7" s="1"/>
  <c r="AD7" s="1"/>
  <c r="AC7" s="1"/>
  <c r="AB7" s="1"/>
  <c r="AA7" s="1"/>
  <c r="Z7" s="1"/>
  <c r="Y7" s="1"/>
  <c r="X7" s="1"/>
  <c r="W7" s="1"/>
  <c r="V7" s="1"/>
  <c r="U7" s="1"/>
  <c r="T7" s="1"/>
  <c r="S7" s="1"/>
  <c r="R7" s="1"/>
  <c r="Q7" s="1"/>
  <c r="P7" s="1"/>
  <c r="O7" s="1"/>
  <c r="N7" s="1"/>
  <c r="M7" s="1"/>
  <c r="L7" s="1"/>
  <c r="K7" s="1"/>
  <c r="J7" s="1"/>
  <c r="I7" s="1"/>
  <c r="H7" s="1"/>
  <c r="G7" s="1"/>
  <c r="G11" i="2"/>
  <c r="H11" s="1"/>
  <c r="I11" s="1"/>
  <c r="J11" s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I7" s="1"/>
  <c r="AH7" s="1"/>
  <c r="AG7" s="1"/>
  <c r="AF7" s="1"/>
  <c r="AE7" s="1"/>
  <c r="AD7" s="1"/>
  <c r="AC7" s="1"/>
  <c r="AB7" s="1"/>
  <c r="AA7" s="1"/>
  <c r="Z7" s="1"/>
  <c r="Y7" s="1"/>
  <c r="X7" s="1"/>
  <c r="W7" s="1"/>
  <c r="V7" s="1"/>
  <c r="U7" s="1"/>
  <c r="T7" s="1"/>
  <c r="S7" s="1"/>
  <c r="R7" s="1"/>
  <c r="Q7" s="1"/>
  <c r="P7" s="1"/>
  <c r="O7" s="1"/>
  <c r="N7" s="1"/>
  <c r="M7" s="1"/>
  <c r="L7" s="1"/>
  <c r="K7" s="1"/>
  <c r="J7" s="1"/>
  <c r="I7" s="1"/>
  <c r="H7" s="1"/>
  <c r="G7" s="1"/>
  <c r="H8" i="1" l="1"/>
  <c r="G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G12"/>
  <c r="F12"/>
  <c r="G10"/>
  <c r="H10" s="1"/>
  <c r="AJ7"/>
  <c r="F11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C5"/>
  <c r="C16"/>
  <c r="C17"/>
  <c r="C15"/>
  <c r="G11" l="1"/>
  <c r="H11" s="1"/>
  <c r="I11" s="1"/>
  <c r="I10"/>
  <c r="J10" s="1"/>
  <c r="K10" s="1"/>
  <c r="L10" s="1"/>
  <c r="M10" s="1"/>
  <c r="N10" s="1"/>
  <c r="O10" s="1"/>
  <c r="P10" s="1"/>
  <c r="Q10" s="1"/>
  <c r="R10" s="1"/>
  <c r="S10" s="1"/>
  <c r="T10" s="1"/>
  <c r="U10" s="1"/>
  <c r="V10" s="1"/>
  <c r="W10" s="1"/>
  <c r="X10" s="1"/>
  <c r="Y10" s="1"/>
  <c r="Z10" s="1"/>
  <c r="AA10" s="1"/>
  <c r="AB10" s="1"/>
  <c r="AC10" s="1"/>
  <c r="AD10" s="1"/>
  <c r="AE10" s="1"/>
  <c r="AF10" s="1"/>
  <c r="AG10" s="1"/>
  <c r="AH10" s="1"/>
  <c r="AI10" s="1"/>
  <c r="X8" i="3"/>
  <c r="Y8"/>
  <c r="Z8"/>
  <c r="AA8"/>
  <c r="AB8"/>
  <c r="AC8"/>
  <c r="AD8"/>
  <c r="AE8"/>
  <c r="AF8"/>
  <c r="AG8"/>
  <c r="AH8"/>
  <c r="AI8"/>
  <c r="H8"/>
  <c r="I8"/>
  <c r="J8"/>
  <c r="K8"/>
  <c r="L8"/>
  <c r="M8"/>
  <c r="N8"/>
  <c r="O8"/>
  <c r="P8"/>
  <c r="Q8"/>
  <c r="R8"/>
  <c r="S8"/>
  <c r="T8"/>
  <c r="U8"/>
  <c r="V8"/>
  <c r="W8"/>
  <c r="F8"/>
  <c r="J11" i="1" l="1"/>
  <c r="K11" s="1"/>
  <c r="L11" s="1"/>
  <c r="M11" s="1"/>
  <c r="N11" s="1"/>
  <c r="O11" s="1"/>
  <c r="P11" s="1"/>
  <c r="Q11" s="1"/>
  <c r="R11" s="1"/>
  <c r="S11" s="1"/>
  <c r="T11" s="1"/>
  <c r="U11" s="1"/>
  <c r="V11" s="1"/>
  <c r="W11" s="1"/>
  <c r="X11" s="1"/>
  <c r="Y11" s="1"/>
  <c r="Z11" s="1"/>
  <c r="AA11" s="1"/>
  <c r="AB11" s="1"/>
  <c r="AC11" s="1"/>
  <c r="AD11" s="1"/>
  <c r="AE11" s="1"/>
  <c r="AF11" s="1"/>
  <c r="AG11" s="1"/>
  <c r="AH11" s="1"/>
  <c r="AI11" s="1"/>
  <c r="AH7" s="1"/>
  <c r="AG7" s="1"/>
  <c r="AF7" s="1"/>
  <c r="AE7" s="1"/>
  <c r="AD7" s="1"/>
  <c r="AC7" s="1"/>
  <c r="AB7" s="1"/>
  <c r="AA7" s="1"/>
  <c r="Z7" s="1"/>
  <c r="Y7" s="1"/>
  <c r="X7" s="1"/>
  <c r="W7" s="1"/>
  <c r="V7" s="1"/>
  <c r="U7" s="1"/>
  <c r="T7" s="1"/>
  <c r="S7" s="1"/>
  <c r="R7" s="1"/>
  <c r="Q7" s="1"/>
  <c r="P7" s="1"/>
  <c r="O7" s="1"/>
  <c r="N7" s="1"/>
  <c r="M7" s="1"/>
  <c r="L7" s="1"/>
  <c r="K7" s="1"/>
  <c r="J7" s="1"/>
  <c r="I7" s="1"/>
  <c r="H7" s="1"/>
  <c r="G7" s="1"/>
  <c r="G8" i="3"/>
  <c r="C4" l="1"/>
  <c r="C5" i="2"/>
  <c r="AI4"/>
  <c r="AG4"/>
  <c r="AE4"/>
  <c r="AC4"/>
  <c r="AA4"/>
  <c r="Y4"/>
  <c r="W4"/>
  <c r="U4"/>
  <c r="S4"/>
  <c r="Q4"/>
  <c r="O4"/>
  <c r="M4"/>
  <c r="K4"/>
  <c r="I4"/>
  <c r="G4"/>
  <c r="C4"/>
  <c r="I4" i="3" l="1"/>
  <c r="Q4"/>
  <c r="J4"/>
  <c r="R4"/>
  <c r="Z4"/>
  <c r="AH4"/>
  <c r="N4"/>
  <c r="V4"/>
  <c r="AD4"/>
  <c r="G4"/>
  <c r="K4"/>
  <c r="O4"/>
  <c r="S4"/>
  <c r="W4"/>
  <c r="AA4"/>
  <c r="AE4"/>
  <c r="AI4"/>
  <c r="H4"/>
  <c r="L4"/>
  <c r="P4"/>
  <c r="T4"/>
  <c r="X4"/>
  <c r="AB4"/>
  <c r="AF4"/>
  <c r="AJ4"/>
  <c r="M4"/>
  <c r="U4"/>
  <c r="Y4"/>
  <c r="AC4"/>
  <c r="AG4"/>
  <c r="C5"/>
  <c r="J4" i="2"/>
  <c r="N4"/>
  <c r="R4"/>
  <c r="V4"/>
  <c r="Z4"/>
  <c r="AD4"/>
  <c r="AH4"/>
  <c r="H4"/>
  <c r="L4"/>
  <c r="P4"/>
  <c r="T4"/>
  <c r="X4"/>
  <c r="AB4"/>
  <c r="AF4"/>
  <c r="AJ4"/>
  <c r="AC4" i="1" l="1"/>
  <c r="AD4"/>
  <c r="AE4"/>
  <c r="AF4"/>
  <c r="AG4"/>
  <c r="AH4"/>
  <c r="AI4"/>
  <c r="AJ4"/>
  <c r="W4"/>
  <c r="X4"/>
  <c r="Y4"/>
  <c r="Z4"/>
  <c r="AA4"/>
  <c r="AB4"/>
  <c r="L4"/>
  <c r="M4"/>
  <c r="N4"/>
  <c r="O4"/>
  <c r="P4"/>
  <c r="Q4"/>
  <c r="R4"/>
  <c r="S4"/>
  <c r="T4"/>
  <c r="U4"/>
  <c r="V4"/>
  <c r="H4"/>
  <c r="I4"/>
  <c r="J4"/>
  <c r="K4"/>
  <c r="G4"/>
  <c r="C4"/>
</calcChain>
</file>

<file path=xl/sharedStrings.xml><?xml version="1.0" encoding="utf-8"?>
<sst xmlns="http://schemas.openxmlformats.org/spreadsheetml/2006/main" count="59" uniqueCount="21">
  <si>
    <t>L</t>
  </si>
  <si>
    <t>dx</t>
  </si>
  <si>
    <t>dt</t>
  </si>
  <si>
    <t>t</t>
  </si>
  <si>
    <t>Cp</t>
  </si>
  <si>
    <t>λ</t>
  </si>
  <si>
    <t>ρ</t>
  </si>
  <si>
    <t>T</t>
  </si>
  <si>
    <t>T_iter</t>
  </si>
  <si>
    <t>q</t>
  </si>
  <si>
    <t>q_start</t>
  </si>
  <si>
    <t>T_end</t>
  </si>
  <si>
    <t>α</t>
  </si>
  <si>
    <t>T_gas</t>
  </si>
  <si>
    <t>T_start</t>
  </si>
  <si>
    <t>A</t>
  </si>
  <si>
    <t>B</t>
  </si>
  <si>
    <t>C</t>
  </si>
  <si>
    <t>alfa</t>
  </si>
  <si>
    <t>betta</t>
  </si>
  <si>
    <t>F</t>
  </si>
</sst>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/>
    <xf numFmtId="165" fontId="0" fillId="0" borderId="1" xfId="0" applyNumberFormat="1" applyBorder="1"/>
    <xf numFmtId="164" fontId="0" fillId="0" borderId="1" xfId="0" applyNumberFormat="1" applyBorder="1"/>
    <xf numFmtId="0" fontId="2" fillId="0" borderId="0" xfId="0" applyFont="1" applyBorder="1"/>
    <xf numFmtId="0" fontId="0" fillId="0" borderId="0" xfId="0" applyBorder="1"/>
    <xf numFmtId="0" fontId="1" fillId="0" borderId="1" xfId="0" applyFont="1" applyFill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EC82D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1509974421239619"/>
          <c:y val="8.4446767683451343E-2"/>
          <c:w val="0.76228566249362739"/>
          <c:h val="0.81715860517435313"/>
        </c:manualLayout>
      </c:layout>
      <c:scatterChart>
        <c:scatterStyle val="smoothMarker"/>
        <c:ser>
          <c:idx val="0"/>
          <c:order val="0"/>
          <c:spPr>
            <a:ln w="47625">
              <a:solidFill>
                <a:srgbClr val="EC82DF"/>
              </a:solidFill>
            </a:ln>
          </c:spPr>
          <c:marker>
            <c:symbol val="none"/>
          </c:marker>
          <c:xVal>
            <c:numRef>
              <c:f>'ГР_1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'ГР_1 рода'!$F$5:$AJ$5</c:f>
              <c:numCache>
                <c:formatCode>General</c:formatCode>
                <c:ptCount val="31"/>
                <c:pt idx="0">
                  <c:v>300</c:v>
                </c:pt>
                <c:pt idx="1">
                  <c:v>280.20114262798575</c:v>
                </c:pt>
                <c:pt idx="2">
                  <c:v>260.57053452366904</c:v>
                </c:pt>
                <c:pt idx="3">
                  <c:v>241.27335396752636</c:v>
                </c:pt>
                <c:pt idx="4">
                  <c:v>222.46874067679317</c:v>
                </c:pt>
                <c:pt idx="5">
                  <c:v>204.30702925674697</c:v>
                </c:pt>
                <c:pt idx="6">
                  <c:v>186.92727013670742</c:v>
                </c:pt>
                <c:pt idx="7">
                  <c:v>170.45510875086381</c:v>
                </c:pt>
                <c:pt idx="8">
                  <c:v>155.00107463428773</c:v>
                </c:pt>
                <c:pt idx="9">
                  <c:v>140.65931099015722</c:v>
                </c:pt>
                <c:pt idx="10">
                  <c:v>127.5067536180474</c:v>
                </c:pt>
                <c:pt idx="11">
                  <c:v>115.60274732960713</c:v>
                </c:pt>
                <c:pt idx="12">
                  <c:v>104.98906943559072</c:v>
                </c:pt>
                <c:pt idx="13">
                  <c:v>95.690314648076594</c:v>
                </c:pt>
                <c:pt idx="14">
                  <c:v>87.714584570723446</c:v>
                </c:pt>
                <c:pt idx="15">
                  <c:v>81.054418255410752</c:v>
                </c:pt>
                <c:pt idx="16">
                  <c:v>75.68789812172092</c:v>
                </c:pt>
                <c:pt idx="17">
                  <c:v>71.579867553261167</c:v>
                </c:pt>
                <c:pt idx="18">
                  <c:v>68.68320209085141</c:v>
                </c:pt>
                <c:pt idx="19">
                  <c:v>66.940084503407604</c:v>
                </c:pt>
                <c:pt idx="20">
                  <c:v>66.283244166503039</c:v>
                </c:pt>
                <c:pt idx="21">
                  <c:v>66.637132112902975</c:v>
                </c:pt>
                <c:pt idx="22">
                  <c:v>67.919013891339318</c:v>
                </c:pt>
                <c:pt idx="23">
                  <c:v>70.039972168091296</c:v>
                </c:pt>
                <c:pt idx="24">
                  <c:v>72.905819217013814</c:v>
                </c:pt>
                <c:pt idx="25">
                  <c:v>76.417925689672472</c:v>
                </c:pt>
                <c:pt idx="26">
                  <c:v>80.473976208137344</c:v>
                </c:pt>
                <c:pt idx="27">
                  <c:v>84.968664482862408</c:v>
                </c:pt>
                <c:pt idx="28">
                  <c:v>89.794341128753075</c:v>
                </c:pt>
                <c:pt idx="29">
                  <c:v>94.841626578966242</c:v>
                </c:pt>
                <c:pt idx="30">
                  <c:v>100</c:v>
                </c:pt>
              </c:numCache>
            </c:numRef>
          </c:yVal>
          <c:smooth val="1"/>
        </c:ser>
        <c:axId val="57844480"/>
        <c:axId val="57846016"/>
      </c:scatterChart>
      <c:valAx>
        <c:axId val="57844480"/>
        <c:scaling>
          <c:orientation val="minMax"/>
          <c:max val="0.1"/>
        </c:scaling>
        <c:axPos val="b"/>
        <c:numFmt formatCode="0.00" sourceLinked="0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57846016"/>
        <c:crosses val="autoZero"/>
        <c:crossBetween val="midCat"/>
      </c:valAx>
      <c:valAx>
        <c:axId val="57846016"/>
        <c:scaling>
          <c:orientation val="minMax"/>
          <c:max val="350"/>
          <c:min val="0"/>
        </c:scaling>
        <c:axPos val="l"/>
        <c:majorGridlines/>
        <c:numFmt formatCode="#,##0.0" sourceLinked="0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57844480"/>
        <c:crosses val="autoZero"/>
        <c:crossBetween val="midCat"/>
      </c:valAx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1412231189964295"/>
          <c:y val="0.11163806076883036"/>
          <c:w val="0.78045374816083213"/>
          <c:h val="0.78996731003485587"/>
        </c:manualLayout>
      </c:layout>
      <c:scatterChart>
        <c:scatterStyle val="smoothMarker"/>
        <c:ser>
          <c:idx val="0"/>
          <c:order val="0"/>
          <c:spPr>
            <a:ln w="47625" cap="sq" cmpd="sng">
              <a:solidFill>
                <a:srgbClr val="EC82DF"/>
              </a:solidFill>
            </a:ln>
          </c:spPr>
          <c:marker>
            <c:symbol val="none"/>
          </c:marker>
          <c:xVal>
            <c:numRef>
              <c:f>'ГР_2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'ГР_2 рода'!$F$5:$AJ$5</c:f>
              <c:numCache>
                <c:formatCode>General</c:formatCode>
                <c:ptCount val="31"/>
                <c:pt idx="0">
                  <c:v>294.1440006126906</c:v>
                </c:pt>
                <c:pt idx="1">
                  <c:v>287.47733394602392</c:v>
                </c:pt>
                <c:pt idx="2">
                  <c:v>275.01989164511792</c:v>
                </c:pt>
                <c:pt idx="3">
                  <c:v>262.69213552613974</c:v>
                </c:pt>
                <c:pt idx="4">
                  <c:v>250.55701577301647</c:v>
                </c:pt>
                <c:pt idx="5">
                  <c:v>238.67524000490067</c:v>
                </c:pt>
                <c:pt idx="6">
                  <c:v>227.10457334883742</c:v>
                </c:pt>
                <c:pt idx="7">
                  <c:v>215.89917810388795</c:v>
                </c:pt>
                <c:pt idx="8">
                  <c:v>205.10900143437459</c:v>
                </c:pt>
                <c:pt idx="9">
                  <c:v>194.77921862329919</c:v>
                </c:pt>
                <c:pt idx="10">
                  <c:v>184.94973839223081</c:v>
                </c:pt>
                <c:pt idx="11">
                  <c:v>175.65477568107517</c:v>
                </c:pt>
                <c:pt idx="12">
                  <c:v>166.92249611174697</c:v>
                </c:pt>
                <c:pt idx="13">
                  <c:v>158.77473516585943</c:v>
                </c:pt>
                <c:pt idx="14">
                  <c:v>151.226793919252</c:v>
                </c:pt>
                <c:pt idx="15">
                  <c:v>144.28731202462149</c:v>
                </c:pt>
                <c:pt idx="16">
                  <c:v>137.95821754379239</c:v>
                </c:pt>
                <c:pt idx="17">
                  <c:v>132.23475222546401</c:v>
                </c:pt>
                <c:pt idx="18">
                  <c:v>127.10556992026865</c:v>
                </c:pt>
                <c:pt idx="19">
                  <c:v>122.55290503534707</c:v>
                </c:pt>
                <c:pt idx="20">
                  <c:v>118.55280726290889</c:v>
                </c:pt>
                <c:pt idx="21">
                  <c:v>115.07543827375075</c:v>
                </c:pt>
                <c:pt idx="22">
                  <c:v>112.08542564491957</c:v>
                </c:pt>
                <c:pt idx="23">
                  <c:v>109.54226898364151</c:v>
                </c:pt>
                <c:pt idx="24">
                  <c:v>107.4007930064752</c:v>
                </c:pt>
                <c:pt idx="25">
                  <c:v>105.61164221949996</c:v>
                </c:pt>
                <c:pt idx="26">
                  <c:v>104.12181180611381</c:v>
                </c:pt>
                <c:pt idx="27">
                  <c:v>102.87520934628871</c:v>
                </c:pt>
                <c:pt idx="28">
                  <c:v>101.81324204714123</c:v>
                </c:pt>
                <c:pt idx="29">
                  <c:v>100.87542424220359</c:v>
                </c:pt>
                <c:pt idx="30">
                  <c:v>100</c:v>
                </c:pt>
              </c:numCache>
            </c:numRef>
          </c:yVal>
          <c:smooth val="1"/>
        </c:ser>
        <c:axId val="54238208"/>
        <c:axId val="54260480"/>
      </c:scatterChart>
      <c:valAx>
        <c:axId val="54238208"/>
        <c:scaling>
          <c:orientation val="minMax"/>
          <c:max val="0.1"/>
        </c:scaling>
        <c:axPos val="b"/>
        <c:numFmt formatCode="0.00" sourceLinked="0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54260480"/>
        <c:crosses val="autoZero"/>
        <c:crossBetween val="midCat"/>
      </c:valAx>
      <c:valAx>
        <c:axId val="54260480"/>
        <c:scaling>
          <c:orientation val="minMax"/>
          <c:max val="350"/>
          <c:min val="0"/>
        </c:scaling>
        <c:axPos val="l"/>
        <c:majorGridlines/>
        <c:numFmt formatCode="#,##0.0" sourceLinked="0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54238208"/>
        <c:crosses val="autoZero"/>
        <c:crossBetween val="midCat"/>
      </c:valAx>
      <c:spPr>
        <a:noFill/>
      </c:spPr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0.11510010402053211"/>
          <c:y val="8.2399427344309231E-2"/>
          <c:w val="0.75587226190693668"/>
          <c:h val="0.81920601288475303"/>
        </c:manualLayout>
      </c:layout>
      <c:scatterChart>
        <c:scatterStyle val="smoothMarker"/>
        <c:ser>
          <c:idx val="0"/>
          <c:order val="0"/>
          <c:spPr>
            <a:ln w="44450">
              <a:solidFill>
                <a:srgbClr val="EC82DF"/>
              </a:solidFill>
            </a:ln>
          </c:spPr>
          <c:marker>
            <c:symbol val="none"/>
          </c:marker>
          <c:xVal>
            <c:numRef>
              <c:f>'ГР_3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'ГР_3 рода'!$F$5:$AJ$5</c:f>
              <c:numCache>
                <c:formatCode>General</c:formatCode>
                <c:ptCount val="31"/>
                <c:pt idx="0">
                  <c:v>85763.080460892976</c:v>
                </c:pt>
                <c:pt idx="1">
                  <c:v>85762.715243501676</c:v>
                </c:pt>
                <c:pt idx="2">
                  <c:v>79570.705493080794</c:v>
                </c:pt>
                <c:pt idx="3">
                  <c:v>73468.251519254482</c:v>
                </c:pt>
                <c:pt idx="4">
                  <c:v>67497.682099256563</c:v>
                </c:pt>
                <c:pt idx="5">
                  <c:v>61698.487307960706</c:v>
                </c:pt>
                <c:pt idx="6">
                  <c:v>56106.533741895357</c:v>
                </c:pt>
                <c:pt idx="7">
                  <c:v>50753.407339911384</c:v>
                </c:pt>
                <c:pt idx="8">
                  <c:v>45665.903050501263</c:v>
                </c:pt>
                <c:pt idx="9">
                  <c:v>40865.673400754138</c:v>
                </c:pt>
                <c:pt idx="10">
                  <c:v>36369.04049355055</c:v>
                </c:pt>
                <c:pt idx="11">
                  <c:v>32186.968548477107</c:v>
                </c:pt>
                <c:pt idx="12">
                  <c:v>28325.187228251823</c:v>
                </c:pt>
                <c:pt idx="13">
                  <c:v>24784.450017161686</c:v>
                </c:pt>
                <c:pt idx="14">
                  <c:v>21560.907120646545</c:v>
                </c:pt>
                <c:pt idx="15">
                  <c:v>18646.568919657242</c:v>
                </c:pt>
                <c:pt idx="16">
                  <c:v>16029.834022750278</c:v>
                </c:pt>
                <c:pt idx="17">
                  <c:v>13696.05539825606</c:v>
                </c:pt>
                <c:pt idx="18">
                  <c:v>11628.118836406189</c:v>
                </c:pt>
                <c:pt idx="19">
                  <c:v>9807.0099147079309</c:v>
                </c:pt>
                <c:pt idx="20">
                  <c:v>8212.3484967852764</c:v>
                </c:pt>
                <c:pt idx="21">
                  <c:v>6822.873335104875</c:v>
                </c:pt>
                <c:pt idx="22">
                  <c:v>5616.8633148192512</c:v>
                </c:pt>
                <c:pt idx="23">
                  <c:v>4572.4860254942541</c:v>
                </c:pt>
                <c:pt idx="24">
                  <c:v>3668.0684639282208</c:v>
                </c:pt>
                <c:pt idx="25">
                  <c:v>2882.288577463095</c:v>
                </c:pt>
                <c:pt idx="26">
                  <c:v>2194.2899201217119</c:v>
                </c:pt>
                <c:pt idx="27">
                  <c:v>1583.7248252574818</c:v>
                </c:pt>
                <c:pt idx="28">
                  <c:v>1030.7341507589256</c:v>
                </c:pt>
                <c:pt idx="29">
                  <c:v>515.8738125576225</c:v>
                </c:pt>
                <c:pt idx="30">
                  <c:v>20</c:v>
                </c:pt>
              </c:numCache>
            </c:numRef>
          </c:yVal>
          <c:smooth val="1"/>
        </c:ser>
        <c:axId val="58005376"/>
        <c:axId val="58006912"/>
      </c:scatterChart>
      <c:valAx>
        <c:axId val="58005376"/>
        <c:scaling>
          <c:orientation val="minMax"/>
          <c:max val="0.1"/>
        </c:scaling>
        <c:axPos val="b"/>
        <c:numFmt formatCode="0.00" sourceLinked="0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58006912"/>
        <c:crosses val="autoZero"/>
        <c:crossBetween val="midCat"/>
      </c:valAx>
      <c:valAx>
        <c:axId val="58006912"/>
        <c:scaling>
          <c:orientation val="minMax"/>
          <c:max val="87000"/>
          <c:min val="0"/>
        </c:scaling>
        <c:axPos val="l"/>
        <c:majorGridlines/>
        <c:numFmt formatCode="#,##0.0" sourceLinked="0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58005376"/>
        <c:crosses val="autoZero"/>
        <c:crossBetween val="midCat"/>
      </c:valAx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571500</xdr:colOff>
      <xdr:row>15</xdr:row>
      <xdr:rowOff>95250</xdr:rowOff>
    </xdr:from>
    <xdr:to>
      <xdr:col>30</xdr:col>
      <xdr:colOff>571499</xdr:colOff>
      <xdr:row>55</xdr:row>
      <xdr:rowOff>31750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0.05567</cdr:x>
      <cdr:y>0.00637</cdr:y>
    </cdr:from>
    <cdr:to>
      <cdr:x>0.15518</cdr:x>
      <cdr:y>0.06509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614185" y="48135"/>
          <a:ext cx="1097907" cy="44371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𝑻, [𝑪]</a:t>
          </a:r>
          <a:endParaRPr lang="ru-RU" sz="1600" b="1"/>
        </a:p>
      </cdr:txBody>
    </cdr:sp>
  </cdr:relSizeAnchor>
  <cdr:relSizeAnchor xmlns:cdr="http://schemas.openxmlformats.org/drawingml/2006/chartDrawing">
    <cdr:from>
      <cdr:x>0.88518</cdr:x>
      <cdr:y>0.86597</cdr:y>
    </cdr:from>
    <cdr:to>
      <cdr:x>0.99198</cdr:x>
      <cdr:y>0.92469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766348" y="6543676"/>
          <a:ext cx="1178338" cy="4437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𝑳, [𝒎]</a:t>
          </a:r>
          <a:endParaRPr lang="ru-RU" sz="1600" b="1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299357</xdr:colOff>
      <xdr:row>15</xdr:row>
      <xdr:rowOff>176892</xdr:rowOff>
    </xdr:from>
    <xdr:to>
      <xdr:col>33</xdr:col>
      <xdr:colOff>272143</xdr:colOff>
      <xdr:row>51</xdr:row>
      <xdr:rowOff>13607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0.07412</cdr:x>
      <cdr:y>0.03279</cdr:y>
    </cdr:from>
    <cdr:to>
      <cdr:x>0.17363</cdr:x>
      <cdr:y>0.09151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830035" y="219538"/>
          <a:ext cx="1114380" cy="3931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𝑻, [𝑪]</a:t>
          </a:r>
          <a:endParaRPr lang="ru-RU" sz="1600" b="1"/>
        </a:p>
      </cdr:txBody>
    </cdr:sp>
  </cdr:relSizeAnchor>
  <cdr:relSizeAnchor xmlns:cdr="http://schemas.openxmlformats.org/drawingml/2006/chartDrawing">
    <cdr:from>
      <cdr:x>0.8932</cdr:x>
      <cdr:y>0.85365</cdr:y>
    </cdr:from>
    <cdr:to>
      <cdr:x>1</cdr:x>
      <cdr:y>0.91237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10063649" y="5714955"/>
          <a:ext cx="1196019" cy="393114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𝑳, [𝒎]</a:t>
          </a:r>
          <a:endParaRPr lang="ru-RU" sz="1600" b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142875</xdr:colOff>
      <xdr:row>15</xdr:row>
      <xdr:rowOff>127000</xdr:rowOff>
    </xdr:from>
    <xdr:to>
      <xdr:col>29</xdr:col>
      <xdr:colOff>555625</xdr:colOff>
      <xdr:row>61</xdr:row>
      <xdr:rowOff>15875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0.07059</cdr:x>
      <cdr:y>0.01546</cdr:y>
    </cdr:from>
    <cdr:to>
      <cdr:x>0.1701</cdr:x>
      <cdr:y>0.07418</cdr:y>
    </cdr:to>
    <cdr:sp macro="" textlink="">
      <cdr:nvSpPr>
        <cdr:cNvPr id="2" name="TextBox 3"/>
        <cdr:cNvSpPr txBox="1"/>
      </cdr:nvSpPr>
      <cdr:spPr>
        <a:xfrm xmlns:a="http://schemas.openxmlformats.org/drawingml/2006/main">
          <a:off x="772727" y="107994"/>
          <a:ext cx="1089376" cy="410160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𝑻, [𝑪]</a:t>
          </a:r>
          <a:endParaRPr lang="ru-RU" sz="1600" b="1"/>
        </a:p>
      </cdr:txBody>
    </cdr:sp>
  </cdr:relSizeAnchor>
  <cdr:relSizeAnchor xmlns:cdr="http://schemas.openxmlformats.org/drawingml/2006/chartDrawing">
    <cdr:from>
      <cdr:x>0.90245</cdr:x>
      <cdr:y>0.88121</cdr:y>
    </cdr:from>
    <cdr:to>
      <cdr:x>0.98985</cdr:x>
      <cdr:y>0.93781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9879505" y="5511762"/>
          <a:ext cx="956770" cy="35398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square" rtlCol="0" anchor="t">
          <a:no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600" b="1" i="0">
              <a:latin typeface="Cambria Math"/>
            </a:rPr>
            <a:t>𝑳, [𝒎]</a:t>
          </a:r>
          <a:endParaRPr lang="ru-RU" sz="1600" b="1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/>
  <dimension ref="B3:AJ17"/>
  <sheetViews>
    <sheetView zoomScale="60" zoomScaleNormal="60" workbookViewId="0">
      <selection activeCell="F5" sqref="F5"/>
    </sheetView>
  </sheetViews>
  <sheetFormatPr defaultRowHeight="15"/>
  <sheetData>
    <row r="3" spans="2:36">
      <c r="B3" s="1" t="s">
        <v>0</v>
      </c>
      <c r="C3" s="1">
        <v>0.1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>
      <c r="B4" s="1" t="s">
        <v>1</v>
      </c>
      <c r="C4" s="4">
        <f>C3/30</f>
        <v>3.3333333333333335E-3</v>
      </c>
      <c r="E4" t="s">
        <v>0</v>
      </c>
      <c r="F4" s="3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>
      <c r="B5" s="1" t="s">
        <v>2</v>
      </c>
      <c r="C5" s="4">
        <f>(C9*C8*C4^2)/(2*C10)</f>
        <v>0.4333333333333334</v>
      </c>
      <c r="E5" t="s">
        <v>7</v>
      </c>
      <c r="F5">
        <v>300</v>
      </c>
      <c r="G5">
        <v>280.20114262798575</v>
      </c>
      <c r="H5">
        <v>260.57053452366904</v>
      </c>
      <c r="I5">
        <v>241.27335396752636</v>
      </c>
      <c r="J5">
        <v>222.46874067679317</v>
      </c>
      <c r="K5">
        <v>204.30702925674697</v>
      </c>
      <c r="L5">
        <v>186.92727013670742</v>
      </c>
      <c r="M5">
        <v>170.45510875086381</v>
      </c>
      <c r="N5">
        <v>155.00107463428773</v>
      </c>
      <c r="O5">
        <v>140.65931099015722</v>
      </c>
      <c r="P5">
        <v>127.5067536180474</v>
      </c>
      <c r="Q5">
        <v>115.60274732960713</v>
      </c>
      <c r="R5">
        <v>104.98906943559072</v>
      </c>
      <c r="S5">
        <v>95.690314648076594</v>
      </c>
      <c r="T5">
        <v>87.714584570723446</v>
      </c>
      <c r="U5">
        <v>81.054418255410752</v>
      </c>
      <c r="V5">
        <v>75.68789812172092</v>
      </c>
      <c r="W5">
        <v>71.579867553261167</v>
      </c>
      <c r="X5">
        <v>68.68320209085141</v>
      </c>
      <c r="Y5">
        <v>66.940084503407604</v>
      </c>
      <c r="Z5">
        <v>66.283244166503039</v>
      </c>
      <c r="AA5">
        <v>66.637132112902975</v>
      </c>
      <c r="AB5">
        <v>67.919013891339318</v>
      </c>
      <c r="AC5">
        <v>70.039972168091296</v>
      </c>
      <c r="AD5">
        <v>72.905819217013814</v>
      </c>
      <c r="AE5">
        <v>76.417925689672472</v>
      </c>
      <c r="AF5">
        <v>80.473976208137344</v>
      </c>
      <c r="AG5">
        <v>84.968664482862408</v>
      </c>
      <c r="AH5">
        <v>89.794341128753075</v>
      </c>
      <c r="AI5">
        <v>94.841626578966242</v>
      </c>
      <c r="AJ5">
        <v>100</v>
      </c>
    </row>
    <row r="6" spans="2:36">
      <c r="B6" s="1" t="s">
        <v>3</v>
      </c>
      <c r="C6" s="1">
        <v>60</v>
      </c>
      <c r="D6">
        <v>60.233333333333341</v>
      </c>
    </row>
    <row r="7" spans="2:36">
      <c r="E7" t="s">
        <v>8</v>
      </c>
      <c r="G7">
        <f t="shared" ref="G7:AH7" si="1">G10*H7+G11</f>
        <v>280.28451209215399</v>
      </c>
      <c r="H7">
        <f t="shared" si="1"/>
        <v>260.73576311264441</v>
      </c>
      <c r="I7">
        <f t="shared" si="1"/>
        <v>241.51747131108542</v>
      </c>
      <c r="J7">
        <f t="shared" si="1"/>
        <v>222.78741419664442</v>
      </c>
      <c r="K7">
        <f t="shared" si="1"/>
        <v>204.69470412190589</v>
      </c>
      <c r="L7">
        <f t="shared" si="1"/>
        <v>187.37734377748521</v>
      </c>
      <c r="M7">
        <f t="shared" si="1"/>
        <v>170.96013071462008</v>
      </c>
      <c r="N7">
        <f t="shared" si="1"/>
        <v>155.55296157926747</v>
      </c>
      <c r="O7">
        <f t="shared" si="1"/>
        <v>141.24956633387433</v>
      </c>
      <c r="P7">
        <f t="shared" si="1"/>
        <v>128.12668177591533</v>
      </c>
      <c r="Q7">
        <f t="shared" si="1"/>
        <v>116.24365353369214</v>
      </c>
      <c r="R7">
        <f t="shared" si="1"/>
        <v>105.64243769963892</v>
      </c>
      <c r="S7">
        <f t="shared" si="1"/>
        <v>96.347958393682063</v>
      </c>
      <c r="T7">
        <f t="shared" si="1"/>
        <v>88.368766578936132</v>
      </c>
      <c r="U7">
        <f t="shared" si="1"/>
        <v>81.697938780615559</v>
      </c>
      <c r="V7">
        <f t="shared" si="1"/>
        <v>76.314152032704555</v>
      </c>
      <c r="W7">
        <f t="shared" si="1"/>
        <v>72.182873106760752</v>
      </c>
      <c r="X7">
        <f t="shared" si="1"/>
        <v>69.257605287816148</v>
      </c>
      <c r="Y7">
        <f t="shared" si="1"/>
        <v>67.481143862800991</v>
      </c>
      <c r="Z7">
        <f t="shared" si="1"/>
        <v>66.786801156572579</v>
      </c>
      <c r="AA7">
        <f t="shared" si="1"/>
        <v>67.099572430483207</v>
      </c>
      <c r="AB7">
        <f t="shared" si="1"/>
        <v>68.337224339554268</v>
      </c>
      <c r="AC7">
        <f t="shared" si="1"/>
        <v>70.411297145055215</v>
      </c>
      <c r="AD7">
        <f t="shared" si="1"/>
        <v>73.228019904484</v>
      </c>
      <c r="AE7">
        <f t="shared" si="1"/>
        <v>76.689144038853158</v>
      </c>
      <c r="AF7">
        <f t="shared" si="1"/>
        <v>80.692704871583686</v>
      </c>
      <c r="AG7">
        <f t="shared" si="1"/>
        <v>85.13372303120687</v>
      </c>
      <c r="AH7">
        <f t="shared" si="1"/>
        <v>89.904858287518977</v>
      </c>
      <c r="AI7">
        <f>AI10*AJ7+AI11</f>
        <v>94.897027861362858</v>
      </c>
      <c r="AJ7">
        <f>AJ5</f>
        <v>100</v>
      </c>
    </row>
    <row r="8" spans="2:36">
      <c r="B8" s="1" t="s">
        <v>4</v>
      </c>
      <c r="C8" s="1">
        <v>460</v>
      </c>
    </row>
    <row r="9" spans="2:36">
      <c r="B9" s="2" t="s">
        <v>6</v>
      </c>
      <c r="C9" s="1">
        <v>7800</v>
      </c>
    </row>
    <row r="10" spans="2:36">
      <c r="B10" s="2" t="s">
        <v>5</v>
      </c>
      <c r="C10" s="1">
        <v>46</v>
      </c>
      <c r="E10" t="s">
        <v>18</v>
      </c>
      <c r="F10">
        <v>0</v>
      </c>
      <c r="G10">
        <f>$C$15/($C$16-$C$17*F10)</f>
        <v>0.25</v>
      </c>
      <c r="H10">
        <f>$C$15/($C$16-$C$17*G10)</f>
        <v>0.26666666666666666</v>
      </c>
      <c r="I10">
        <f t="shared" ref="I10:AI10" si="2">$C$15/($C$16-$C$17*H10)</f>
        <v>0.26785714285714285</v>
      </c>
      <c r="J10">
        <f t="shared" si="2"/>
        <v>0.26794258373205743</v>
      </c>
      <c r="K10">
        <f t="shared" si="2"/>
        <v>0.26794871794871794</v>
      </c>
      <c r="L10">
        <f t="shared" si="2"/>
        <v>0.26794915836482308</v>
      </c>
      <c r="M10">
        <f t="shared" si="2"/>
        <v>0.26794918998527245</v>
      </c>
      <c r="N10">
        <f t="shared" si="2"/>
        <v>0.26794919225551855</v>
      </c>
      <c r="O10">
        <f t="shared" si="2"/>
        <v>0.26794919241851489</v>
      </c>
      <c r="P10">
        <f t="shared" si="2"/>
        <v>0.26794919243021753</v>
      </c>
      <c r="Q10">
        <f t="shared" si="2"/>
        <v>0.26794919243105775</v>
      </c>
      <c r="R10">
        <f t="shared" si="2"/>
        <v>0.26794919243111803</v>
      </c>
      <c r="S10">
        <f t="shared" si="2"/>
        <v>0.26794919243112236</v>
      </c>
      <c r="T10">
        <f t="shared" si="2"/>
        <v>0.2679491924311227</v>
      </c>
      <c r="U10">
        <f t="shared" si="2"/>
        <v>0.2679491924311227</v>
      </c>
      <c r="V10">
        <f t="shared" si="2"/>
        <v>0.2679491924311227</v>
      </c>
      <c r="W10">
        <f t="shared" si="2"/>
        <v>0.2679491924311227</v>
      </c>
      <c r="X10">
        <f t="shared" si="2"/>
        <v>0.2679491924311227</v>
      </c>
      <c r="Y10">
        <f t="shared" si="2"/>
        <v>0.2679491924311227</v>
      </c>
      <c r="Z10">
        <f t="shared" si="2"/>
        <v>0.2679491924311227</v>
      </c>
      <c r="AA10">
        <f t="shared" si="2"/>
        <v>0.2679491924311227</v>
      </c>
      <c r="AB10">
        <f t="shared" si="2"/>
        <v>0.2679491924311227</v>
      </c>
      <c r="AC10">
        <f t="shared" si="2"/>
        <v>0.2679491924311227</v>
      </c>
      <c r="AD10">
        <f t="shared" si="2"/>
        <v>0.2679491924311227</v>
      </c>
      <c r="AE10">
        <f t="shared" si="2"/>
        <v>0.2679491924311227</v>
      </c>
      <c r="AF10">
        <f t="shared" si="2"/>
        <v>0.2679491924311227</v>
      </c>
      <c r="AG10">
        <f t="shared" si="2"/>
        <v>0.2679491924311227</v>
      </c>
      <c r="AH10">
        <f t="shared" si="2"/>
        <v>0.2679491924311227</v>
      </c>
      <c r="AI10">
        <f t="shared" si="2"/>
        <v>0.2679491924311227</v>
      </c>
    </row>
    <row r="11" spans="2:36">
      <c r="E11" t="s">
        <v>19</v>
      </c>
      <c r="F11">
        <f>C12</f>
        <v>300</v>
      </c>
      <c r="G11">
        <f>(F11*$C$17-G12)/($C$16-$C$17*F10)</f>
        <v>215.1005713139929</v>
      </c>
      <c r="H11">
        <f>(G11*$C$17-H12)/($C$16-$C$17*G10)</f>
        <v>196.33110409635498</v>
      </c>
      <c r="I11">
        <f t="shared" ref="I11:AI11" si="3">(H11*$C$17-I12)/($C$16-$C$17*H10)</f>
        <v>181.84227107984137</v>
      </c>
      <c r="J11">
        <f t="shared" si="3"/>
        <v>167.94098629795192</v>
      </c>
      <c r="K11">
        <f t="shared" si="3"/>
        <v>154.48718508409254</v>
      </c>
      <c r="L11">
        <f t="shared" si="3"/>
        <v>141.56872063856261</v>
      </c>
      <c r="M11">
        <f t="shared" si="3"/>
        <v>129.27984065964515</v>
      </c>
      <c r="N11">
        <f t="shared" si="3"/>
        <v>117.70525437366356</v>
      </c>
      <c r="O11">
        <f t="shared" si="3"/>
        <v>106.91812542475377</v>
      </c>
      <c r="P11">
        <f t="shared" si="3"/>
        <v>96.979288686424511</v>
      </c>
      <c r="Q11">
        <f t="shared" si="3"/>
        <v>87.936847665625564</v>
      </c>
      <c r="R11">
        <f t="shared" si="3"/>
        <v>79.826080055664846</v>
      </c>
      <c r="S11">
        <f t="shared" si="3"/>
        <v>72.669618752721775</v>
      </c>
      <c r="T11">
        <f t="shared" si="3"/>
        <v>66.477869859382892</v>
      </c>
      <c r="U11">
        <f t="shared" si="3"/>
        <v>61.249623372386452</v>
      </c>
      <c r="V11">
        <f t="shared" si="3"/>
        <v>56.972809476389799</v>
      </c>
      <c r="W11">
        <f t="shared" si="3"/>
        <v>53.625353700176966</v>
      </c>
      <c r="X11">
        <f t="shared" si="3"/>
        <v>51.176087285450215</v>
      </c>
      <c r="Y11">
        <f t="shared" si="3"/>
        <v>49.585674427839393</v>
      </c>
      <c r="Z11">
        <f t="shared" si="3"/>
        <v>48.807524911350974</v>
      </c>
      <c r="AA11">
        <f t="shared" si="3"/>
        <v>48.788668355715174</v>
      </c>
      <c r="AB11">
        <f t="shared" si="3"/>
        <v>49.470574131508911</v>
      </c>
      <c r="AC11">
        <f t="shared" si="3"/>
        <v>50.789908348318555</v>
      </c>
      <c r="AD11">
        <f t="shared" si="3"/>
        <v>52.679225691039257</v>
      </c>
      <c r="AE11">
        <f t="shared" si="3"/>
        <v>55.067598933429394</v>
      </c>
      <c r="AF11">
        <f t="shared" si="3"/>
        <v>57.881192536716931</v>
      </c>
      <c r="AG11">
        <f t="shared" si="3"/>
        <v>61.043788857431636</v>
      </c>
      <c r="AH11">
        <f t="shared" si="3"/>
        <v>64.477276307953048</v>
      </c>
      <c r="AI11">
        <f t="shared" si="3"/>
        <v>68.102108618250597</v>
      </c>
    </row>
    <row r="12" spans="2:36">
      <c r="B12" s="1" t="s">
        <v>14</v>
      </c>
      <c r="C12" s="1">
        <v>300</v>
      </c>
      <c r="E12" t="s">
        <v>20</v>
      </c>
      <c r="F12">
        <f>-($C$9*$C$8/$C$5)*F5</f>
        <v>-2483999999.9999995</v>
      </c>
      <c r="G12">
        <f>-($C$9*$C$8/$C$5)*G5</f>
        <v>-2320065460.9597216</v>
      </c>
      <c r="H12">
        <f t="shared" ref="H12:AI12" si="4">-($C$9*$C$8/$C$5)*H5</f>
        <v>-2157524025.8559794</v>
      </c>
      <c r="I12">
        <f t="shared" si="4"/>
        <v>-1997743370.8511181</v>
      </c>
      <c r="J12">
        <f t="shared" si="4"/>
        <v>-1842041172.8038473</v>
      </c>
      <c r="K12">
        <f t="shared" si="4"/>
        <v>-1691662202.2458646</v>
      </c>
      <c r="L12">
        <f t="shared" si="4"/>
        <v>-1547757796.7319372</v>
      </c>
      <c r="M12">
        <f t="shared" si="4"/>
        <v>-1411368300.4571521</v>
      </c>
      <c r="N12">
        <f t="shared" si="4"/>
        <v>-1283408897.9719024</v>
      </c>
      <c r="O12">
        <f t="shared" si="4"/>
        <v>-1164659094.9985018</v>
      </c>
      <c r="P12">
        <f t="shared" si="4"/>
        <v>-1055755919.9574324</v>
      </c>
      <c r="Q12">
        <f t="shared" si="4"/>
        <v>-957190747.88914692</v>
      </c>
      <c r="R12">
        <f t="shared" si="4"/>
        <v>-869309494.92669106</v>
      </c>
      <c r="S12">
        <f t="shared" si="4"/>
        <v>-792315805.28607416</v>
      </c>
      <c r="T12">
        <f t="shared" si="4"/>
        <v>-726276760.24559009</v>
      </c>
      <c r="U12">
        <f t="shared" si="4"/>
        <v>-671130583.15480101</v>
      </c>
      <c r="V12">
        <f t="shared" si="4"/>
        <v>-626695796.44784915</v>
      </c>
      <c r="W12">
        <f t="shared" si="4"/>
        <v>-592681303.34100235</v>
      </c>
      <c r="X12">
        <f t="shared" si="4"/>
        <v>-568696913.31224966</v>
      </c>
      <c r="Y12">
        <f t="shared" si="4"/>
        <v>-554263899.6882149</v>
      </c>
      <c r="Z12">
        <f t="shared" si="4"/>
        <v>-548825261.69864511</v>
      </c>
      <c r="AA12">
        <f t="shared" si="4"/>
        <v>-551755453.89483654</v>
      </c>
      <c r="AB12">
        <f t="shared" si="4"/>
        <v>-562369435.02028954</v>
      </c>
      <c r="AC12">
        <f t="shared" si="4"/>
        <v>-579930969.55179584</v>
      </c>
      <c r="AD12">
        <f t="shared" si="4"/>
        <v>-603660183.11687434</v>
      </c>
      <c r="AE12">
        <f t="shared" si="4"/>
        <v>-632740424.71048796</v>
      </c>
      <c r="AF12">
        <f t="shared" si="4"/>
        <v>-666324523.00337708</v>
      </c>
      <c r="AG12">
        <f t="shared" si="4"/>
        <v>-703540541.91810071</v>
      </c>
      <c r="AH12">
        <f t="shared" si="4"/>
        <v>-743497144.54607534</v>
      </c>
      <c r="AI12">
        <f t="shared" si="4"/>
        <v>-785288668.07384038</v>
      </c>
    </row>
    <row r="13" spans="2:36">
      <c r="B13" s="1" t="s">
        <v>11</v>
      </c>
      <c r="C13" s="1">
        <v>100</v>
      </c>
    </row>
    <row r="15" spans="2:36">
      <c r="B15" t="s">
        <v>15</v>
      </c>
      <c r="C15">
        <f>C10/(C4^(2))</f>
        <v>4139999.9999999991</v>
      </c>
    </row>
    <row r="16" spans="2:36">
      <c r="B16" t="s">
        <v>16</v>
      </c>
      <c r="C16">
        <f>2*C10/(C4^(2))+C9*C8/C5</f>
        <v>16559999.999999996</v>
      </c>
    </row>
    <row r="17" spans="2:3">
      <c r="B17" t="s">
        <v>17</v>
      </c>
      <c r="C17">
        <f>C10/(C4^(2))</f>
        <v>4139999.9999999991</v>
      </c>
    </row>
  </sheetData>
  <conditionalFormatting sqref="F5:AJ5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  <cfRule type="colorScale" priority="2">
      <colorScale>
        <cfvo type="min" val="0"/>
        <cfvo type="percentile" val="50"/>
        <cfvo type="max" val="0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"/>
  <dimension ref="B3:AJ17"/>
  <sheetViews>
    <sheetView zoomScale="70" zoomScaleNormal="70" workbookViewId="0">
      <selection activeCell="E42" sqref="E42"/>
    </sheetView>
  </sheetViews>
  <sheetFormatPr defaultRowHeight="15"/>
  <cols>
    <col min="3" max="3" width="10.140625" bestFit="1" customWidth="1"/>
    <col min="6" max="36" width="6.7109375" customWidth="1"/>
  </cols>
  <sheetData>
    <row r="3" spans="2:36">
      <c r="B3" s="1" t="s">
        <v>0</v>
      </c>
      <c r="C3" s="1">
        <v>0.1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>
      <c r="B4" s="1" t="s">
        <v>1</v>
      </c>
      <c r="C4" s="4">
        <f>C3/30</f>
        <v>3.3333333333333335E-3</v>
      </c>
      <c r="E4" t="s">
        <v>0</v>
      </c>
      <c r="F4" s="3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>
      <c r="B5" s="1" t="s">
        <v>2</v>
      </c>
      <c r="C5" s="4">
        <f>(C9*C8*C4^2)/(2*C10)</f>
        <v>0.4333333333333334</v>
      </c>
      <c r="E5" t="s">
        <v>7</v>
      </c>
      <c r="F5">
        <f>(F8/$C$10)*$C$4+G5</f>
        <v>294.1440006126906</v>
      </c>
      <c r="G5">
        <v>287.47733394602392</v>
      </c>
      <c r="H5">
        <v>275.01989164511792</v>
      </c>
      <c r="I5">
        <v>262.69213552613974</v>
      </c>
      <c r="J5">
        <v>250.55701577301647</v>
      </c>
      <c r="K5">
        <v>238.67524000490067</v>
      </c>
      <c r="L5">
        <v>227.10457334883742</v>
      </c>
      <c r="M5">
        <v>215.89917810388795</v>
      </c>
      <c r="N5">
        <v>205.10900143437459</v>
      </c>
      <c r="O5">
        <v>194.77921862329919</v>
      </c>
      <c r="P5">
        <v>184.94973839223081</v>
      </c>
      <c r="Q5">
        <v>175.65477568107517</v>
      </c>
      <c r="R5">
        <v>166.92249611174697</v>
      </c>
      <c r="S5">
        <v>158.77473516585943</v>
      </c>
      <c r="T5">
        <v>151.226793919252</v>
      </c>
      <c r="U5">
        <v>144.28731202462149</v>
      </c>
      <c r="V5">
        <v>137.95821754379239</v>
      </c>
      <c r="W5">
        <v>132.23475222546401</v>
      </c>
      <c r="X5">
        <v>127.10556992026865</v>
      </c>
      <c r="Y5">
        <v>122.55290503534707</v>
      </c>
      <c r="Z5">
        <v>118.55280726290889</v>
      </c>
      <c r="AA5">
        <v>115.07543827375075</v>
      </c>
      <c r="AB5">
        <v>112.08542564491957</v>
      </c>
      <c r="AC5">
        <v>109.54226898364151</v>
      </c>
      <c r="AD5">
        <v>107.4007930064752</v>
      </c>
      <c r="AE5">
        <v>105.61164221949996</v>
      </c>
      <c r="AF5">
        <v>104.12181180611381</v>
      </c>
      <c r="AG5">
        <v>102.87520934628871</v>
      </c>
      <c r="AH5">
        <v>101.81324204714123</v>
      </c>
      <c r="AI5">
        <v>100.87542424220359</v>
      </c>
      <c r="AJ5">
        <v>100</v>
      </c>
    </row>
    <row r="6" spans="2:36">
      <c r="B6" s="1" t="s">
        <v>3</v>
      </c>
      <c r="C6" s="1">
        <v>60</v>
      </c>
      <c r="D6">
        <v>60.233333333333341</v>
      </c>
    </row>
    <row r="7" spans="2:36">
      <c r="E7" t="s">
        <v>8</v>
      </c>
      <c r="G7">
        <f>G10*H7+G11</f>
        <v>287.50975677925891</v>
      </c>
      <c r="H7">
        <f>H10*I7+H11</f>
        <v>275.08435922498779</v>
      </c>
      <c r="I7">
        <f t="shared" ref="G7:AH7" si="1">I10*J7+I11</f>
        <v>262.78789683045625</v>
      </c>
      <c r="J7">
        <f t="shared" si="1"/>
        <v>250.68295704455744</v>
      </c>
      <c r="K7">
        <f t="shared" si="1"/>
        <v>238.82989980174059</v>
      </c>
      <c r="L7">
        <f t="shared" si="1"/>
        <v>227.28616215260351</v>
      </c>
      <c r="M7">
        <f t="shared" si="1"/>
        <v>216.10560211099852</v>
      </c>
      <c r="N7">
        <f t="shared" si="1"/>
        <v>205.33789008361464</v>
      </c>
      <c r="O7">
        <f t="shared" si="1"/>
        <v>195.02795535471083</v>
      </c>
      <c r="P7">
        <f t="shared" si="1"/>
        <v>185.21549408863024</v>
      </c>
      <c r="Q7">
        <f t="shared" si="1"/>
        <v>175.9345442153483</v>
      </c>
      <c r="R7">
        <f t="shared" si="1"/>
        <v>167.2131314106125</v>
      </c>
      <c r="S7">
        <f t="shared" si="1"/>
        <v>159.07298920360785</v>
      </c>
      <c r="T7">
        <f t="shared" si="1"/>
        <v>151.5293550721</v>
      </c>
      <c r="U7">
        <f t="shared" si="1"/>
        <v>144.5908432462881</v>
      </c>
      <c r="V7">
        <f t="shared" si="1"/>
        <v>138.25939386380944</v>
      </c>
      <c r="W7">
        <f t="shared" si="1"/>
        <v>132.53029712136487</v>
      </c>
      <c r="X7">
        <f t="shared" si="1"/>
        <v>127.39229017072194</v>
      </c>
      <c r="Y7">
        <f t="shared" si="1"/>
        <v>122.82772372098557</v>
      </c>
      <c r="Z7">
        <f t="shared" si="1"/>
        <v>118.81279464252613</v>
      </c>
      <c r="AA7">
        <f t="shared" si="1"/>
        <v>115.31784032330113</v>
      </c>
      <c r="AB7">
        <f t="shared" si="1"/>
        <v>112.30769010317684</v>
      </c>
      <c r="AC7">
        <f t="shared" si="1"/>
        <v>109.74206879956701</v>
      </c>
      <c r="AD7">
        <f t="shared" si="1"/>
        <v>107.57604712780815</v>
      </c>
      <c r="AE7">
        <f t="shared" si="1"/>
        <v>105.76053369871518</v>
      </c>
      <c r="AF7">
        <f t="shared" si="1"/>
        <v>104.24280322805262</v>
      </c>
      <c r="AG7">
        <f t="shared" si="1"/>
        <v>102.96705560126766</v>
      </c>
      <c r="AH7">
        <f t="shared" si="1"/>
        <v>101.87500048444052</v>
      </c>
      <c r="AI7">
        <f>AI10*AJ7+AI11</f>
        <v>100.90646224221194</v>
      </c>
      <c r="AJ7">
        <f>AJ5</f>
        <v>100</v>
      </c>
    </row>
    <row r="8" spans="2:36">
      <c r="B8" s="1" t="s">
        <v>4</v>
      </c>
      <c r="C8" s="1">
        <v>460</v>
      </c>
      <c r="E8" t="s">
        <v>9</v>
      </c>
      <c r="F8">
        <v>92000</v>
      </c>
      <c r="G8">
        <f>-$C$10*((G5-F5)/$C$4)</f>
        <v>92000.000000000247</v>
      </c>
      <c r="H8">
        <f>-$C$10*((H5-G5)/$C$4)</f>
        <v>171912.70375250271</v>
      </c>
      <c r="I8">
        <f t="shared" ref="H8:AJ8" si="2">-$C$10*((I5-H5)/$C$4)</f>
        <v>170123.03444189896</v>
      </c>
      <c r="J8">
        <f t="shared" si="2"/>
        <v>167464.652593101</v>
      </c>
      <c r="K8">
        <f t="shared" si="2"/>
        <v>163968.50559999805</v>
      </c>
      <c r="L8">
        <f t="shared" si="2"/>
        <v>159675.19985367288</v>
      </c>
      <c r="M8">
        <f t="shared" si="2"/>
        <v>154634.45438030269</v>
      </c>
      <c r="N8">
        <f t="shared" si="2"/>
        <v>148904.43803928434</v>
      </c>
      <c r="O8">
        <f t="shared" si="2"/>
        <v>142551.00279284056</v>
      </c>
      <c r="P8">
        <f t="shared" si="2"/>
        <v>135646.82718874357</v>
      </c>
      <c r="Q8">
        <f t="shared" si="2"/>
        <v>128270.48541394794</v>
      </c>
      <c r="R8">
        <f t="shared" si="2"/>
        <v>120505.45805672913</v>
      </c>
      <c r="S8">
        <f t="shared" si="2"/>
        <v>112439.10105324804</v>
      </c>
      <c r="T8">
        <f t="shared" si="2"/>
        <v>104161.58920318242</v>
      </c>
      <c r="U8">
        <f t="shared" si="2"/>
        <v>95764.850145901131</v>
      </c>
      <c r="V8">
        <f t="shared" si="2"/>
        <v>87341.503835441559</v>
      </c>
      <c r="W8">
        <f t="shared" si="2"/>
        <v>78983.821392931641</v>
      </c>
      <c r="X8">
        <f t="shared" si="2"/>
        <v>70782.715811695918</v>
      </c>
      <c r="Y8">
        <f t="shared" si="2"/>
        <v>62826.775411917843</v>
      </c>
      <c r="Z8">
        <f t="shared" si="2"/>
        <v>55201.349259646893</v>
      </c>
      <c r="AA8">
        <f t="shared" si="2"/>
        <v>47987.692050382291</v>
      </c>
      <c r="AB8">
        <f t="shared" si="2"/>
        <v>41262.17427787029</v>
      </c>
      <c r="AC8">
        <f t="shared" si="2"/>
        <v>35095.561925637245</v>
      </c>
      <c r="AD8">
        <f t="shared" si="2"/>
        <v>29552.368484895054</v>
      </c>
      <c r="AE8">
        <f t="shared" si="2"/>
        <v>24690.280860258332</v>
      </c>
      <c r="AF8">
        <f t="shared" si="2"/>
        <v>20559.659704728791</v>
      </c>
      <c r="AG8">
        <f t="shared" si="2"/>
        <v>17203.113945586356</v>
      </c>
      <c r="AH8">
        <f t="shared" si="2"/>
        <v>14655.148728235265</v>
      </c>
      <c r="AI8">
        <f t="shared" si="2"/>
        <v>12941.885708139394</v>
      </c>
      <c r="AJ8">
        <f t="shared" si="2"/>
        <v>12080.854542409583</v>
      </c>
    </row>
    <row r="9" spans="2:36">
      <c r="B9" s="2" t="s">
        <v>6</v>
      </c>
      <c r="C9" s="1">
        <v>7800</v>
      </c>
    </row>
    <row r="10" spans="2:36">
      <c r="B10" s="2" t="s">
        <v>5</v>
      </c>
      <c r="C10" s="1">
        <v>46</v>
      </c>
      <c r="E10" t="s">
        <v>18</v>
      </c>
      <c r="F10">
        <v>0</v>
      </c>
      <c r="G10">
        <f>$C$15/($C$16-$C$17*F10)</f>
        <v>0.25</v>
      </c>
      <c r="H10">
        <f>$C$15/($C$16-$C$17*G10)</f>
        <v>0.26666666666666666</v>
      </c>
      <c r="I10">
        <f t="shared" ref="H10:AI10" si="3">$C$15/($C$16-$C$17*H10)</f>
        <v>0.26785714285714285</v>
      </c>
      <c r="J10">
        <f t="shared" si="3"/>
        <v>0.26794258373205743</v>
      </c>
      <c r="K10">
        <f t="shared" si="3"/>
        <v>0.26794871794871794</v>
      </c>
      <c r="L10">
        <f t="shared" si="3"/>
        <v>0.26794915836482308</v>
      </c>
      <c r="M10">
        <f t="shared" si="3"/>
        <v>0.26794918998527245</v>
      </c>
      <c r="N10">
        <f t="shared" si="3"/>
        <v>0.26794919225551855</v>
      </c>
      <c r="O10">
        <f t="shared" si="3"/>
        <v>0.26794919241851489</v>
      </c>
      <c r="P10">
        <f t="shared" si="3"/>
        <v>0.26794919243021753</v>
      </c>
      <c r="Q10">
        <f t="shared" si="3"/>
        <v>0.26794919243105775</v>
      </c>
      <c r="R10">
        <f t="shared" si="3"/>
        <v>0.26794919243111803</v>
      </c>
      <c r="S10">
        <f t="shared" si="3"/>
        <v>0.26794919243112236</v>
      </c>
      <c r="T10">
        <f t="shared" si="3"/>
        <v>0.2679491924311227</v>
      </c>
      <c r="U10">
        <f t="shared" si="3"/>
        <v>0.2679491924311227</v>
      </c>
      <c r="V10">
        <f t="shared" si="3"/>
        <v>0.2679491924311227</v>
      </c>
      <c r="W10">
        <f t="shared" si="3"/>
        <v>0.2679491924311227</v>
      </c>
      <c r="X10">
        <f t="shared" si="3"/>
        <v>0.2679491924311227</v>
      </c>
      <c r="Y10">
        <f t="shared" si="3"/>
        <v>0.2679491924311227</v>
      </c>
      <c r="Z10">
        <f t="shared" si="3"/>
        <v>0.2679491924311227</v>
      </c>
      <c r="AA10">
        <f t="shared" si="3"/>
        <v>0.2679491924311227</v>
      </c>
      <c r="AB10">
        <f t="shared" si="3"/>
        <v>0.2679491924311227</v>
      </c>
      <c r="AC10">
        <f t="shared" si="3"/>
        <v>0.2679491924311227</v>
      </c>
      <c r="AD10">
        <f t="shared" si="3"/>
        <v>0.2679491924311227</v>
      </c>
      <c r="AE10">
        <f t="shared" si="3"/>
        <v>0.2679491924311227</v>
      </c>
      <c r="AF10">
        <f t="shared" si="3"/>
        <v>0.2679491924311227</v>
      </c>
      <c r="AG10">
        <f t="shared" si="3"/>
        <v>0.2679491924311227</v>
      </c>
      <c r="AH10">
        <f t="shared" si="3"/>
        <v>0.2679491924311227</v>
      </c>
      <c r="AI10">
        <f t="shared" si="3"/>
        <v>0.2679491924311227</v>
      </c>
    </row>
    <row r="11" spans="2:36">
      <c r="E11" t="s">
        <v>19</v>
      </c>
      <c r="F11">
        <f>C12</f>
        <v>300</v>
      </c>
      <c r="G11">
        <f>(F11*$C$17-G12)/($C$16-$C$17*F10)</f>
        <v>218.73866697301196</v>
      </c>
      <c r="H11">
        <f>(G11*$C$17-H12)/($C$16-$C$17*G10)</f>
        <v>205.0075867368661</v>
      </c>
      <c r="I11">
        <f t="shared" ref="H11:AI11" si="4">(H11*$C$17-I12)/($C$16-$C$17*H10)</f>
        <v>195.64067619352119</v>
      </c>
      <c r="J11">
        <f t="shared" si="4"/>
        <v>186.69025661921069</v>
      </c>
      <c r="K11">
        <f t="shared" si="4"/>
        <v>177.92886404546607</v>
      </c>
      <c r="L11">
        <f t="shared" si="4"/>
        <v>169.38084794903813</v>
      </c>
      <c r="M11">
        <f t="shared" si="4"/>
        <v>161.08548078980905</v>
      </c>
      <c r="N11">
        <f t="shared" si="4"/>
        <v>153.08030697907455</v>
      </c>
      <c r="O11">
        <f t="shared" si="4"/>
        <v>145.39961329026613</v>
      </c>
      <c r="P11">
        <f t="shared" si="4"/>
        <v>138.07397504554925</v>
      </c>
      <c r="Q11">
        <f t="shared" si="4"/>
        <v>131.12992069000634</v>
      </c>
      <c r="R11">
        <f t="shared" si="4"/>
        <v>124.58965241590184</v>
      </c>
      <c r="S11">
        <f t="shared" si="4"/>
        <v>118.47082088242986</v>
      </c>
      <c r="T11">
        <f t="shared" si="4"/>
        <v>112.78635539132206</v>
      </c>
      <c r="U11">
        <f t="shared" si="4"/>
        <v>107.54435031446384</v>
      </c>
      <c r="V11">
        <f t="shared" si="4"/>
        <v>102.74800777748298</v>
      </c>
      <c r="W11">
        <f t="shared" si="4"/>
        <v>98.395635848168666</v>
      </c>
      <c r="X11">
        <f t="shared" si="4"/>
        <v>94.480700791530808</v>
      </c>
      <c r="Y11">
        <f t="shared" si="4"/>
        <v>90.991931346035869</v>
      </c>
      <c r="Z11">
        <f t="shared" si="4"/>
        <v>87.913472454996437</v>
      </c>
      <c r="AA11">
        <f t="shared" si="4"/>
        <v>85.225085456350101</v>
      </c>
      <c r="AB11">
        <f t="shared" si="4"/>
        <v>82.902391392612145</v>
      </c>
      <c r="AC11">
        <f t="shared" si="4"/>
        <v>80.917153846738415</v>
      </c>
      <c r="AD11">
        <f t="shared" si="4"/>
        <v>79.23759753215289</v>
      </c>
      <c r="AE11">
        <f t="shared" si="4"/>
        <v>77.828758757002049</v>
      </c>
      <c r="AF11">
        <f t="shared" si="4"/>
        <v>76.652863832682442</v>
      </c>
      <c r="AG11">
        <f t="shared" si="4"/>
        <v>75.669731492541587</v>
      </c>
      <c r="AH11">
        <f t="shared" si="4"/>
        <v>74.837195415558256</v>
      </c>
      <c r="AI11">
        <f t="shared" si="4"/>
        <v>74.111542999099669</v>
      </c>
    </row>
    <row r="12" spans="2:36">
      <c r="B12" s="1" t="s">
        <v>14</v>
      </c>
      <c r="C12" s="1">
        <v>300</v>
      </c>
      <c r="E12" t="s">
        <v>20</v>
      </c>
      <c r="F12">
        <f>-($C$9*$C$8/$C$5)*F5</f>
        <v>-2435512325.0730782</v>
      </c>
      <c r="G12">
        <f>-($C$9*$C$8/$C$5)*G5</f>
        <v>-2380312325.0730777</v>
      </c>
      <c r="H12">
        <f t="shared" ref="G12:AI12" si="5">-($C$9*$C$8/$C$5)*H5</f>
        <v>-2277164702.8215761</v>
      </c>
      <c r="I12">
        <f t="shared" si="5"/>
        <v>-2175090882.1564369</v>
      </c>
      <c r="J12">
        <f t="shared" si="5"/>
        <v>-2074612090.6005762</v>
      </c>
      <c r="K12">
        <f t="shared" si="5"/>
        <v>-1976230987.2405775</v>
      </c>
      <c r="L12">
        <f t="shared" si="5"/>
        <v>-1880425867.3283737</v>
      </c>
      <c r="M12">
        <f t="shared" si="5"/>
        <v>-1787645194.700192</v>
      </c>
      <c r="N12">
        <f t="shared" si="5"/>
        <v>-1698302531.8766215</v>
      </c>
      <c r="O12">
        <f t="shared" si="5"/>
        <v>-1612771930.200917</v>
      </c>
      <c r="P12">
        <f t="shared" si="5"/>
        <v>-1531383833.887671</v>
      </c>
      <c r="Q12">
        <f t="shared" si="5"/>
        <v>-1454421542.6393023</v>
      </c>
      <c r="R12">
        <f t="shared" si="5"/>
        <v>-1382118267.8052647</v>
      </c>
      <c r="S12">
        <f t="shared" si="5"/>
        <v>-1314654807.173316</v>
      </c>
      <c r="T12">
        <f t="shared" si="5"/>
        <v>-1252157853.6514065</v>
      </c>
      <c r="U12">
        <f t="shared" si="5"/>
        <v>-1194698943.5638657</v>
      </c>
      <c r="V12">
        <f t="shared" si="5"/>
        <v>-1142294041.2626009</v>
      </c>
      <c r="W12">
        <f t="shared" si="5"/>
        <v>-1094903748.4268417</v>
      </c>
      <c r="X12">
        <f t="shared" si="5"/>
        <v>-1052434118.9398243</v>
      </c>
      <c r="Y12">
        <f t="shared" si="5"/>
        <v>-1014738053.6926736</v>
      </c>
      <c r="Z12">
        <f t="shared" si="5"/>
        <v>-981617244.1368854</v>
      </c>
      <c r="AA12">
        <f t="shared" si="5"/>
        <v>-952824628.90665615</v>
      </c>
      <c r="AB12">
        <f t="shared" si="5"/>
        <v>-928067324.33993387</v>
      </c>
      <c r="AC12">
        <f t="shared" si="5"/>
        <v>-907009987.1845516</v>
      </c>
      <c r="AD12">
        <f t="shared" si="5"/>
        <v>-889278566.09361458</v>
      </c>
      <c r="AE12">
        <f t="shared" si="5"/>
        <v>-874464397.57745957</v>
      </c>
      <c r="AF12">
        <f t="shared" si="5"/>
        <v>-862128601.75462222</v>
      </c>
      <c r="AG12">
        <f t="shared" si="5"/>
        <v>-851806733.38727045</v>
      </c>
      <c r="AH12">
        <f t="shared" si="5"/>
        <v>-843013644.15032935</v>
      </c>
      <c r="AI12">
        <f t="shared" si="5"/>
        <v>-835248512.72544563</v>
      </c>
    </row>
    <row r="13" spans="2:36">
      <c r="B13" s="1" t="s">
        <v>11</v>
      </c>
      <c r="C13" s="1">
        <v>100</v>
      </c>
    </row>
    <row r="14" spans="2:36">
      <c r="B14" s="1" t="s">
        <v>10</v>
      </c>
      <c r="C14" s="1">
        <v>92000</v>
      </c>
    </row>
    <row r="15" spans="2:36">
      <c r="B15" t="s">
        <v>15</v>
      </c>
      <c r="C15">
        <f>C10/(C4^(2))</f>
        <v>4139999.9999999991</v>
      </c>
    </row>
    <row r="16" spans="2:36">
      <c r="B16" t="s">
        <v>16</v>
      </c>
      <c r="C16">
        <f>2*C10/(C4^(2))+C9*C8/C5</f>
        <v>16559999.999999996</v>
      </c>
    </row>
    <row r="17" spans="2:3">
      <c r="B17" t="s">
        <v>17</v>
      </c>
      <c r="C17">
        <f>C10/(C4^(2))</f>
        <v>4139999.9999999991</v>
      </c>
    </row>
  </sheetData>
  <conditionalFormatting sqref="F5:AJ5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  <cfRule type="colorScale" priority="2">
      <colorScale>
        <cfvo type="min" val="0"/>
        <cfvo type="percentile" val="50"/>
        <cfvo type="max" val="0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B3:AJ21"/>
  <sheetViews>
    <sheetView tabSelected="1" zoomScale="60" zoomScaleNormal="60" workbookViewId="0">
      <selection activeCell="AI36" sqref="AI36"/>
    </sheetView>
  </sheetViews>
  <sheetFormatPr defaultRowHeight="15"/>
  <sheetData>
    <row r="3" spans="2:36">
      <c r="B3" s="1" t="s">
        <v>0</v>
      </c>
      <c r="C3" s="1">
        <v>0.1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>
      <c r="B4" s="1" t="s">
        <v>1</v>
      </c>
      <c r="C4" s="4">
        <f>C3/30</f>
        <v>3.3333333333333335E-3</v>
      </c>
      <c r="E4" t="s">
        <v>0</v>
      </c>
      <c r="F4" s="3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>
      <c r="B5" s="1" t="s">
        <v>2</v>
      </c>
      <c r="C5" s="4">
        <f>(C9*C8*C4^2)/(2*C10)</f>
        <v>0.4333333333333334</v>
      </c>
      <c r="E5" t="s">
        <v>7</v>
      </c>
      <c r="F5">
        <f>G5+($C$11*($C$13-$C$14)*$C$4)/$C$10</f>
        <v>85763.080460892976</v>
      </c>
      <c r="G5">
        <v>85762.715243501676</v>
      </c>
      <c r="H5">
        <v>79570.705493080794</v>
      </c>
      <c r="I5">
        <v>73468.251519254482</v>
      </c>
      <c r="J5">
        <v>67497.682099256563</v>
      </c>
      <c r="K5">
        <v>61698.487307960706</v>
      </c>
      <c r="L5">
        <v>56106.533741895357</v>
      </c>
      <c r="M5">
        <v>50753.407339911384</v>
      </c>
      <c r="N5">
        <v>45665.903050501263</v>
      </c>
      <c r="O5">
        <v>40865.673400754138</v>
      </c>
      <c r="P5">
        <v>36369.04049355055</v>
      </c>
      <c r="Q5">
        <v>32186.968548477107</v>
      </c>
      <c r="R5">
        <v>28325.187228251823</v>
      </c>
      <c r="S5">
        <v>24784.450017161686</v>
      </c>
      <c r="T5">
        <v>21560.907120646545</v>
      </c>
      <c r="U5">
        <v>18646.568919657242</v>
      </c>
      <c r="V5">
        <v>16029.834022750278</v>
      </c>
      <c r="W5">
        <v>13696.05539825606</v>
      </c>
      <c r="X5">
        <v>11628.118836406189</v>
      </c>
      <c r="Y5">
        <v>9807.0099147079309</v>
      </c>
      <c r="Z5">
        <v>8212.3484967852764</v>
      </c>
      <c r="AA5">
        <v>6822.873335104875</v>
      </c>
      <c r="AB5">
        <v>5616.8633148192512</v>
      </c>
      <c r="AC5">
        <v>4572.4860254942541</v>
      </c>
      <c r="AD5">
        <v>3668.0684639282208</v>
      </c>
      <c r="AE5">
        <v>2882.288577463095</v>
      </c>
      <c r="AF5">
        <v>2194.2899201217119</v>
      </c>
      <c r="AG5">
        <v>1583.7248252574818</v>
      </c>
      <c r="AH5">
        <v>1030.7341507589256</v>
      </c>
      <c r="AI5">
        <v>515.8738125576225</v>
      </c>
      <c r="AJ5">
        <v>20</v>
      </c>
    </row>
    <row r="6" spans="2:36">
      <c r="B6" s="1" t="s">
        <v>3</v>
      </c>
      <c r="C6" s="1">
        <v>60</v>
      </c>
      <c r="D6">
        <v>60.233333333333341</v>
      </c>
    </row>
    <row r="7" spans="2:36">
      <c r="E7" t="s">
        <v>8</v>
      </c>
      <c r="G7">
        <f>G10*H7+G11</f>
        <v>85785.108632023708</v>
      </c>
      <c r="H7">
        <f>H10*I7+H11</f>
        <v>79615.004041091393</v>
      </c>
      <c r="I7">
        <f t="shared" ref="I7:AJ7" si="1">I10*J7+I11</f>
        <v>73533.496546180249</v>
      </c>
      <c r="J7">
        <f t="shared" si="1"/>
        <v>67582.47910512067</v>
      </c>
      <c r="K7">
        <f t="shared" si="1"/>
        <v>61801.055675789314</v>
      </c>
      <c r="L7">
        <f t="shared" si="1"/>
        <v>56224.768982115165</v>
      </c>
      <c r="M7">
        <f t="shared" si="1"/>
        <v>50884.952768880619</v>
      </c>
      <c r="N7">
        <f t="shared" si="1"/>
        <v>45808.227413584544</v>
      </c>
      <c r="O7">
        <f t="shared" si="1"/>
        <v>41016.150784455029</v>
      </c>
      <c r="P7">
        <f t="shared" si="1"/>
        <v>36525.028922727302</v>
      </c>
      <c r="Q7">
        <f t="shared" si="1"/>
        <v>32345.883919353044</v>
      </c>
      <c r="R7">
        <f t="shared" si="1"/>
        <v>28484.56965773067</v>
      </c>
      <c r="S7">
        <f t="shared" si="1"/>
        <v>24942.020255065989</v>
      </c>
      <c r="T7">
        <f t="shared" si="1"/>
        <v>21714.611328209921</v>
      </c>
      <c r="U7">
        <f t="shared" si="1"/>
        <v>18794.610816480606</v>
      </c>
      <c r="V7">
        <f t="shared" si="1"/>
        <v>16170.694098398009</v>
      </c>
      <c r="W7">
        <f t="shared" si="1"/>
        <v>13828.497531610874</v>
      </c>
      <c r="X7">
        <f t="shared" si="1"/>
        <v>11751.185231533362</v>
      </c>
      <c r="Y7">
        <f t="shared" si="1"/>
        <v>9920.005721710193</v>
      </c>
      <c r="Z7">
        <f t="shared" si="1"/>
        <v>8314.8178258915432</v>
      </c>
      <c r="AA7">
        <f t="shared" si="1"/>
        <v>6914.568588285425</v>
      </c>
      <c r="AB7">
        <f t="shared" si="1"/>
        <v>5697.709857040406</v>
      </c>
      <c r="AC7">
        <f t="shared" si="1"/>
        <v>4642.5442102376946</v>
      </c>
      <c r="AD7">
        <f t="shared" si="1"/>
        <v>3727.4949329218634</v>
      </c>
      <c r="AE7">
        <f t="shared" si="1"/>
        <v>2931.2985935933157</v>
      </c>
      <c r="AF7">
        <f t="shared" si="1"/>
        <v>2233.1222865252084</v>
      </c>
      <c r="AG7">
        <f t="shared" si="1"/>
        <v>1612.6107122640938</v>
      </c>
      <c r="AH7">
        <f t="shared" si="1"/>
        <v>1049.8709120162018</v>
      </c>
      <c r="AI7">
        <f>AI10*AJ7+AI11</f>
        <v>525.40463428286171</v>
      </c>
      <c r="AJ7">
        <f>AJ5</f>
        <v>20</v>
      </c>
    </row>
    <row r="8" spans="2:36">
      <c r="B8" s="1" t="s">
        <v>4</v>
      </c>
      <c r="C8" s="1">
        <v>460</v>
      </c>
      <c r="E8" t="s">
        <v>9</v>
      </c>
      <c r="F8">
        <f>C13-C14</f>
        <v>80</v>
      </c>
      <c r="G8">
        <f>(F5-G5)*$C$10/($C$11*$C$4)</f>
        <v>79.999999998974431</v>
      </c>
      <c r="H8">
        <f t="shared" ref="H8:AI8" si="2">(G5-H5)*$C$10/($C$11*$C$4)</f>
        <v>1356344.9929493361</v>
      </c>
      <c r="I8">
        <f t="shared" si="2"/>
        <v>1336728.0133143349</v>
      </c>
      <c r="J8">
        <f t="shared" si="2"/>
        <v>1307839.0158090678</v>
      </c>
      <c r="K8">
        <f t="shared" si="2"/>
        <v>1270299.8114267113</v>
      </c>
      <c r="L8">
        <f t="shared" si="2"/>
        <v>1224904.1144714572</v>
      </c>
      <c r="M8">
        <f t="shared" si="2"/>
        <v>1172589.5928155368</v>
      </c>
      <c r="N8">
        <f t="shared" si="2"/>
        <v>1114405.7014898357</v>
      </c>
      <c r="O8">
        <f t="shared" si="2"/>
        <v>1051478.875658894</v>
      </c>
      <c r="P8">
        <f t="shared" si="2"/>
        <v>984976.73205411911</v>
      </c>
      <c r="Q8">
        <f t="shared" si="2"/>
        <v>916072.90225418273</v>
      </c>
      <c r="R8">
        <f t="shared" si="2"/>
        <v>845914.00347791915</v>
      </c>
      <c r="S8">
        <f t="shared" si="2"/>
        <v>775590.05576260155</v>
      </c>
      <c r="T8">
        <f t="shared" si="2"/>
        <v>706109.39637950691</v>
      </c>
      <c r="U8">
        <f t="shared" si="2"/>
        <v>638378.8440262283</v>
      </c>
      <c r="V8">
        <f t="shared" si="2"/>
        <v>573189.54884628742</v>
      </c>
      <c r="W8">
        <f t="shared" si="2"/>
        <v>511208.65107968583</v>
      </c>
      <c r="X8">
        <f>(W5-X5)*$C$10/($C$11*$C$4)</f>
        <v>452976.58021473349</v>
      </c>
      <c r="Y8">
        <f t="shared" si="2"/>
        <v>398909.57332438033</v>
      </c>
      <c r="Z8">
        <f t="shared" si="2"/>
        <v>349306.78678305761</v>
      </c>
      <c r="AA8">
        <f t="shared" si="2"/>
        <v>304361.22589189745</v>
      </c>
      <c r="AB8">
        <f t="shared" si="2"/>
        <v>264173.62349113665</v>
      </c>
      <c r="AC8">
        <f t="shared" si="2"/>
        <v>228768.35861404694</v>
      </c>
      <c r="AD8">
        <f t="shared" si="2"/>
        <v>198110.51348589297</v>
      </c>
      <c r="AE8">
        <f t="shared" si="2"/>
        <v>172123.2132256942</v>
      </c>
      <c r="AF8">
        <f t="shared" si="2"/>
        <v>150704.46779858865</v>
      </c>
      <c r="AG8">
        <f t="shared" si="2"/>
        <v>133742.83030359325</v>
      </c>
      <c r="AH8">
        <f t="shared" si="2"/>
        <v>121131.29060444565</v>
      </c>
      <c r="AI8">
        <f t="shared" si="2"/>
        <v>112778.93122504733</v>
      </c>
    </row>
    <row r="9" spans="2:36">
      <c r="B9" s="2" t="s">
        <v>6</v>
      </c>
      <c r="C9" s="1">
        <v>7800</v>
      </c>
    </row>
    <row r="10" spans="2:36">
      <c r="B10" s="2" t="s">
        <v>5</v>
      </c>
      <c r="C10" s="1">
        <v>46</v>
      </c>
      <c r="E10" t="s">
        <v>18</v>
      </c>
      <c r="F10">
        <v>0</v>
      </c>
      <c r="G10">
        <f>$C$15/($C$16-$C$17*F10)</f>
        <v>0.25</v>
      </c>
      <c r="H10">
        <f>$C$15/($C$16-$C$17*G10)</f>
        <v>0.26666666666666666</v>
      </c>
      <c r="I10">
        <f t="shared" ref="I10:AI10" si="3">$C$15/($C$16-$C$17*H10)</f>
        <v>0.26785714285714285</v>
      </c>
      <c r="J10">
        <f t="shared" si="3"/>
        <v>0.26794258373205743</v>
      </c>
      <c r="K10">
        <f t="shared" si="3"/>
        <v>0.26794871794871794</v>
      </c>
      <c r="L10">
        <f t="shared" si="3"/>
        <v>0.26794915836482308</v>
      </c>
      <c r="M10">
        <f t="shared" si="3"/>
        <v>0.26794918998527245</v>
      </c>
      <c r="N10">
        <f t="shared" si="3"/>
        <v>0.26794919225551855</v>
      </c>
      <c r="O10">
        <f t="shared" si="3"/>
        <v>0.26794919241851489</v>
      </c>
      <c r="P10">
        <f t="shared" si="3"/>
        <v>0.26794919243021753</v>
      </c>
      <c r="Q10">
        <f t="shared" si="3"/>
        <v>0.26794919243105775</v>
      </c>
      <c r="R10">
        <f t="shared" si="3"/>
        <v>0.26794919243111803</v>
      </c>
      <c r="S10">
        <f t="shared" si="3"/>
        <v>0.26794919243112236</v>
      </c>
      <c r="T10">
        <f t="shared" si="3"/>
        <v>0.2679491924311227</v>
      </c>
      <c r="U10">
        <f t="shared" si="3"/>
        <v>0.2679491924311227</v>
      </c>
      <c r="V10">
        <f t="shared" si="3"/>
        <v>0.2679491924311227</v>
      </c>
      <c r="W10">
        <f t="shared" si="3"/>
        <v>0.2679491924311227</v>
      </c>
      <c r="X10">
        <f t="shared" si="3"/>
        <v>0.2679491924311227</v>
      </c>
      <c r="Y10">
        <f t="shared" si="3"/>
        <v>0.2679491924311227</v>
      </c>
      <c r="Z10">
        <f t="shared" si="3"/>
        <v>0.2679491924311227</v>
      </c>
      <c r="AA10">
        <f t="shared" si="3"/>
        <v>0.2679491924311227</v>
      </c>
      <c r="AB10">
        <f t="shared" si="3"/>
        <v>0.2679491924311227</v>
      </c>
      <c r="AC10">
        <f t="shared" si="3"/>
        <v>0.2679491924311227</v>
      </c>
      <c r="AD10">
        <f t="shared" si="3"/>
        <v>0.2679491924311227</v>
      </c>
      <c r="AE10">
        <f t="shared" si="3"/>
        <v>0.2679491924311227</v>
      </c>
      <c r="AF10">
        <f t="shared" si="3"/>
        <v>0.2679491924311227</v>
      </c>
      <c r="AG10">
        <f t="shared" si="3"/>
        <v>0.2679491924311227</v>
      </c>
      <c r="AH10">
        <f t="shared" si="3"/>
        <v>0.2679491924311227</v>
      </c>
      <c r="AI10">
        <f t="shared" si="3"/>
        <v>0.2679491924311227</v>
      </c>
    </row>
    <row r="11" spans="2:36">
      <c r="B11" s="7" t="s">
        <v>12</v>
      </c>
      <c r="C11" s="8">
        <v>63</v>
      </c>
      <c r="E11" t="s">
        <v>19</v>
      </c>
      <c r="F11">
        <f>C12</f>
        <v>92000</v>
      </c>
      <c r="G11">
        <f>(F11*$C$17-G12)/($C$16-$C$17*F10)</f>
        <v>65881.357621750853</v>
      </c>
      <c r="H11">
        <f>(G11*$C$17-H12)/($C$16-$C$17*G10)</f>
        <v>60006.071628776655</v>
      </c>
      <c r="I11">
        <f t="shared" ref="I11:AI11" si="4">(H11*$C$17-I12)/($C$16-$C$17*H10)</f>
        <v>55431.046785880077</v>
      </c>
      <c r="J11">
        <f t="shared" si="4"/>
        <v>51023.344569980953</v>
      </c>
      <c r="K11">
        <f t="shared" si="4"/>
        <v>46735.700910068714</v>
      </c>
      <c r="L11">
        <f t="shared" si="4"/>
        <v>42590.188714259828</v>
      </c>
      <c r="M11">
        <f t="shared" si="4"/>
        <v>38610.67533874949</v>
      </c>
      <c r="N11">
        <f t="shared" si="4"/>
        <v>34817.982941459268</v>
      </c>
      <c r="O11">
        <f t="shared" si="4"/>
        <v>31229.29878154735</v>
      </c>
      <c r="P11">
        <f t="shared" si="4"/>
        <v>27857.975448095091</v>
      </c>
      <c r="Q11">
        <f t="shared" si="4"/>
        <v>24713.466482817901</v>
      </c>
      <c r="R11">
        <f t="shared" si="4"/>
        <v>21801.375472785148</v>
      </c>
      <c r="S11">
        <f t="shared" si="4"/>
        <v>19123.607685716441</v>
      </c>
      <c r="T11">
        <f t="shared" si="4"/>
        <v>16678.610537876699</v>
      </c>
      <c r="U11">
        <f t="shared" si="4"/>
        <v>14461.686391764137</v>
      </c>
      <c r="V11">
        <f t="shared" si="4"/>
        <v>12465.359352267102</v>
      </c>
      <c r="W11">
        <f t="shared" si="4"/>
        <v>10679.776938712974</v>
      </c>
      <c r="X11">
        <f t="shared" si="4"/>
        <v>9093.1277094889992</v>
      </c>
      <c r="Y11">
        <f t="shared" si="4"/>
        <v>7692.0570000506495</v>
      </c>
      <c r="Z11">
        <f t="shared" si="4"/>
        <v>6462.0647566508551</v>
      </c>
      <c r="AA11">
        <f t="shared" si="4"/>
        <v>5387.8718333846009</v>
      </c>
      <c r="AB11">
        <f t="shared" si="4"/>
        <v>4453.7438850814315</v>
      </c>
      <c r="AC11">
        <f t="shared" si="4"/>
        <v>3643.76495317018</v>
      </c>
      <c r="AD11">
        <f t="shared" si="4"/>
        <v>2942.0558419940489</v>
      </c>
      <c r="AE11">
        <f t="shared" si="4"/>
        <v>2332.935280318944</v>
      </c>
      <c r="AF11">
        <f t="shared" si="4"/>
        <v>1801.0245484682669</v>
      </c>
      <c r="AG11">
        <f t="shared" si="4"/>
        <v>1331.2986492324262</v>
      </c>
      <c r="AH11">
        <f t="shared" si="4"/>
        <v>909.08916456053964</v>
      </c>
      <c r="AI11">
        <f>(AH11*$C$17-AI12)/($C$16-$C$17*AH10)</f>
        <v>520.04565043423929</v>
      </c>
    </row>
    <row r="12" spans="2:36">
      <c r="B12" s="1" t="s">
        <v>10</v>
      </c>
      <c r="C12" s="1">
        <v>92000</v>
      </c>
      <c r="E12" t="s">
        <v>20</v>
      </c>
      <c r="F12">
        <f>-($C$9*$C$8/$C$5)*F5</f>
        <v>-710118306216.19373</v>
      </c>
      <c r="G12">
        <f>-($C$9*$C$8/$C$5)*G5</f>
        <v>-710115282216.19385</v>
      </c>
      <c r="H12">
        <f t="shared" ref="H12:AI12" si="5">-($C$9*$C$8/$C$5)*H5</f>
        <v>-658845441482.70886</v>
      </c>
      <c r="I12">
        <f t="shared" si="5"/>
        <v>-608317122579.427</v>
      </c>
      <c r="J12">
        <f t="shared" si="5"/>
        <v>-558880807781.84424</v>
      </c>
      <c r="K12">
        <f t="shared" si="5"/>
        <v>-510863474909.91461</v>
      </c>
      <c r="L12">
        <f t="shared" si="5"/>
        <v>-464562099382.89349</v>
      </c>
      <c r="M12">
        <f t="shared" si="5"/>
        <v>-420238212774.46619</v>
      </c>
      <c r="N12">
        <f t="shared" si="5"/>
        <v>-378113677258.15039</v>
      </c>
      <c r="O12">
        <f t="shared" si="5"/>
        <v>-338367775758.2442</v>
      </c>
      <c r="P12">
        <f t="shared" si="5"/>
        <v>-301135655286.59851</v>
      </c>
      <c r="Q12">
        <f t="shared" si="5"/>
        <v>-266508099581.39041</v>
      </c>
      <c r="R12">
        <f t="shared" si="5"/>
        <v>-234532550249.92508</v>
      </c>
      <c r="S12">
        <f t="shared" si="5"/>
        <v>-205215246142.09872</v>
      </c>
      <c r="T12">
        <f t="shared" si="5"/>
        <v>-178524310958.95337</v>
      </c>
      <c r="U12">
        <f t="shared" si="5"/>
        <v>-154393590654.76193</v>
      </c>
      <c r="V12">
        <f t="shared" si="5"/>
        <v>-132727025708.37228</v>
      </c>
      <c r="W12">
        <f t="shared" si="5"/>
        <v>-113403338697.56017</v>
      </c>
      <c r="X12">
        <f t="shared" si="5"/>
        <v>-96280823965.443237</v>
      </c>
      <c r="Y12">
        <f t="shared" si="5"/>
        <v>-81202042093.781662</v>
      </c>
      <c r="Z12">
        <f t="shared" si="5"/>
        <v>-67998245553.38208</v>
      </c>
      <c r="AA12">
        <f t="shared" si="5"/>
        <v>-56493391214.668358</v>
      </c>
      <c r="AB12">
        <f t="shared" si="5"/>
        <v>-46507628246.703392</v>
      </c>
      <c r="AC12">
        <f t="shared" si="5"/>
        <v>-37860184291.092422</v>
      </c>
      <c r="AD12">
        <f t="shared" si="5"/>
        <v>-30371606881.325665</v>
      </c>
      <c r="AE12">
        <f t="shared" si="5"/>
        <v>-23865349421.394424</v>
      </c>
      <c r="AF12">
        <f t="shared" si="5"/>
        <v>-18168720538.607773</v>
      </c>
      <c r="AG12">
        <f t="shared" si="5"/>
        <v>-13113241553.131948</v>
      </c>
      <c r="AH12">
        <f t="shared" si="5"/>
        <v>-8534478768.2839031</v>
      </c>
      <c r="AI12">
        <f>-($C$9*$C$8/$C$5)*AI5</f>
        <v>-4271435167.9771137</v>
      </c>
    </row>
    <row r="13" spans="2:36">
      <c r="B13" s="1" t="s">
        <v>11</v>
      </c>
      <c r="C13" s="1">
        <v>100</v>
      </c>
    </row>
    <row r="14" spans="2:36">
      <c r="B14" s="8" t="s">
        <v>13</v>
      </c>
      <c r="C14" s="1">
        <v>20</v>
      </c>
    </row>
    <row r="15" spans="2:36">
      <c r="B15" t="s">
        <v>15</v>
      </c>
      <c r="C15">
        <f>C10/(C4^(2))</f>
        <v>4139999.9999999991</v>
      </c>
    </row>
    <row r="16" spans="2:36">
      <c r="B16" t="s">
        <v>16</v>
      </c>
      <c r="C16">
        <f>2*C10/(C4^(2))+C9*C8/C5</f>
        <v>16559999.999999996</v>
      </c>
    </row>
    <row r="17" spans="2:3">
      <c r="B17" t="s">
        <v>17</v>
      </c>
      <c r="C17">
        <f>C10/(C4^(2))</f>
        <v>4139999.9999999991</v>
      </c>
    </row>
    <row r="18" spans="2:3">
      <c r="B18" s="5"/>
      <c r="C18" s="6"/>
    </row>
    <row r="19" spans="2:3">
      <c r="B19" s="6"/>
      <c r="C19" s="6"/>
    </row>
    <row r="20" spans="2:3">
      <c r="B20" s="6"/>
      <c r="C20" s="6"/>
    </row>
    <row r="21" spans="2:3">
      <c r="B21" s="6"/>
      <c r="C21" s="6"/>
    </row>
  </sheetData>
  <conditionalFormatting sqref="F5:AJ5">
    <cfRule type="colorScale" priority="1">
      <colorScale>
        <cfvo type="min" val="0"/>
        <cfvo type="percentile" val="50"/>
        <cfvo type="max" val="0"/>
        <color rgb="FF00B0F0"/>
        <color rgb="FFFFEB84"/>
        <color rgb="FFFF0000"/>
      </colorScale>
    </cfRule>
    <cfRule type="colorScale" priority="2">
      <colorScale>
        <cfvo type="min" val="0"/>
        <cfvo type="percentile" val="50"/>
        <cfvo type="max" val="0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ГР_1 рода</vt:lpstr>
      <vt:lpstr>ГР_2 рода</vt:lpstr>
      <vt:lpstr>ГР_3 рода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Админ</cp:lastModifiedBy>
  <dcterms:created xsi:type="dcterms:W3CDTF">2021-03-21T16:37:37Z</dcterms:created>
  <dcterms:modified xsi:type="dcterms:W3CDTF">2021-04-04T18:50:20Z</dcterms:modified>
</cp:coreProperties>
</file>