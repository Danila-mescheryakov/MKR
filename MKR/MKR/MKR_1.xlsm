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360" yWindow="60" windowWidth="7635" windowHeight="10800" activeTab="1"/>
  </bookViews>
  <sheets>
    <sheet name="ГР_1 рода" sheetId="1" r:id="rId1"/>
    <sheet name="ГР_2 рода" sheetId="2" r:id="rId2"/>
    <sheet name="ГР_3 рода" sheetId="3" r:id="rId3"/>
  </sheets>
  <calcPr calcId="125725"/>
</workbook>
</file>

<file path=xl/calcChain.xml><?xml version="1.0" encoding="utf-8"?>
<calcChain xmlns="http://schemas.openxmlformats.org/spreadsheetml/2006/main">
  <c r="H7" i="2"/>
  <c r="G7"/>
  <c r="G7" i="1"/>
  <c r="X8" i="3" l="1"/>
  <c r="Y8"/>
  <c r="Z8"/>
  <c r="AA8"/>
  <c r="AB8"/>
  <c r="AC8"/>
  <c r="AD8"/>
  <c r="AE8"/>
  <c r="AF8"/>
  <c r="AG8"/>
  <c r="AH8"/>
  <c r="AI8"/>
  <c r="H8"/>
  <c r="I8"/>
  <c r="J8"/>
  <c r="K8"/>
  <c r="L8"/>
  <c r="M8"/>
  <c r="N8"/>
  <c r="O8"/>
  <c r="P8"/>
  <c r="Q8"/>
  <c r="R8"/>
  <c r="S8"/>
  <c r="T8"/>
  <c r="U8"/>
  <c r="V8"/>
  <c r="W8"/>
  <c r="H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F5"/>
  <c r="G7" s="1"/>
  <c r="F8"/>
  <c r="G8" l="1"/>
  <c r="C4" l="1"/>
  <c r="R8" i="2"/>
  <c r="N8"/>
  <c r="J8"/>
  <c r="AI7"/>
  <c r="AE7"/>
  <c r="AA7"/>
  <c r="W7"/>
  <c r="S7"/>
  <c r="O7"/>
  <c r="K7"/>
  <c r="C5"/>
  <c r="AG7" s="1"/>
  <c r="AI4"/>
  <c r="AG4"/>
  <c r="AE4"/>
  <c r="AC4"/>
  <c r="AA4"/>
  <c r="Y4"/>
  <c r="W4"/>
  <c r="U4"/>
  <c r="S4"/>
  <c r="Q4"/>
  <c r="O4"/>
  <c r="M4"/>
  <c r="K4"/>
  <c r="I4"/>
  <c r="G4"/>
  <c r="C4"/>
  <c r="AJ8" s="1"/>
  <c r="I4" i="3" l="1"/>
  <c r="Q4"/>
  <c r="J4"/>
  <c r="R4"/>
  <c r="Z4"/>
  <c r="AH4"/>
  <c r="N4"/>
  <c r="V4"/>
  <c r="AD4"/>
  <c r="G4"/>
  <c r="K4"/>
  <c r="O4"/>
  <c r="S4"/>
  <c r="W4"/>
  <c r="AA4"/>
  <c r="AE4"/>
  <c r="AI4"/>
  <c r="H4"/>
  <c r="L4"/>
  <c r="P4"/>
  <c r="T4"/>
  <c r="X4"/>
  <c r="AB4"/>
  <c r="AF4"/>
  <c r="AJ4"/>
  <c r="M4"/>
  <c r="U4"/>
  <c r="Y4"/>
  <c r="AC4"/>
  <c r="AG4"/>
  <c r="C5"/>
  <c r="I7" i="2"/>
  <c r="J4"/>
  <c r="N4"/>
  <c r="R4"/>
  <c r="V4"/>
  <c r="Z4"/>
  <c r="AD4"/>
  <c r="AH4"/>
  <c r="F5"/>
  <c r="J7"/>
  <c r="N7"/>
  <c r="R7"/>
  <c r="V7"/>
  <c r="Z7"/>
  <c r="AD7"/>
  <c r="AH7"/>
  <c r="I8"/>
  <c r="M8"/>
  <c r="Q8"/>
  <c r="U8"/>
  <c r="Y8"/>
  <c r="AC8"/>
  <c r="AG8"/>
  <c r="V8"/>
  <c r="Z8"/>
  <c r="AD8"/>
  <c r="AH8"/>
  <c r="H4"/>
  <c r="L4"/>
  <c r="P4"/>
  <c r="T4"/>
  <c r="X4"/>
  <c r="AB4"/>
  <c r="AF4"/>
  <c r="AJ4"/>
  <c r="L7"/>
  <c r="P7"/>
  <c r="T7"/>
  <c r="X7"/>
  <c r="AB7"/>
  <c r="AF7"/>
  <c r="K8"/>
  <c r="O8"/>
  <c r="S8"/>
  <c r="W8"/>
  <c r="AA8"/>
  <c r="AE8"/>
  <c r="AI8"/>
  <c r="M7"/>
  <c r="Q7"/>
  <c r="U7"/>
  <c r="Y7"/>
  <c r="AC7"/>
  <c r="H8"/>
  <c r="L8"/>
  <c r="P8"/>
  <c r="T8"/>
  <c r="X8"/>
  <c r="AB8"/>
  <c r="AF8"/>
  <c r="G8" l="1"/>
  <c r="H7" i="1" l="1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C5"/>
  <c r="AC4"/>
  <c r="AD4"/>
  <c r="AE4"/>
  <c r="AF4"/>
  <c r="AG4"/>
  <c r="AH4"/>
  <c r="AI4"/>
  <c r="AJ4"/>
  <c r="W4"/>
  <c r="X4"/>
  <c r="Y4"/>
  <c r="Z4"/>
  <c r="AA4"/>
  <c r="AB4"/>
  <c r="L4"/>
  <c r="M4"/>
  <c r="N4"/>
  <c r="O4"/>
  <c r="P4"/>
  <c r="Q4"/>
  <c r="R4"/>
  <c r="S4"/>
  <c r="T4"/>
  <c r="U4"/>
  <c r="V4"/>
  <c r="H4"/>
  <c r="I4"/>
  <c r="J4"/>
  <c r="K4"/>
  <c r="G4"/>
  <c r="C4"/>
</calcChain>
</file>

<file path=xl/sharedStrings.xml><?xml version="1.0" encoding="utf-8"?>
<sst xmlns="http://schemas.openxmlformats.org/spreadsheetml/2006/main" count="40" uniqueCount="15">
  <si>
    <t>L</t>
  </si>
  <si>
    <t>dx</t>
  </si>
  <si>
    <t>dt</t>
  </si>
  <si>
    <t>t</t>
  </si>
  <si>
    <t>Cp</t>
  </si>
  <si>
    <t>λ</t>
  </si>
  <si>
    <t>ρ</t>
  </si>
  <si>
    <t>T</t>
  </si>
  <si>
    <t>T_iter</t>
  </si>
  <si>
    <t>q</t>
  </si>
  <si>
    <t>q_start</t>
  </si>
  <si>
    <t>T_end</t>
  </si>
  <si>
    <t>α</t>
  </si>
  <si>
    <t>T_gas</t>
  </si>
  <si>
    <t>T_start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</si>
</sst>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0" fontId="2" fillId="0" borderId="0" xfId="0" applyFont="1" applyBorder="1"/>
    <xf numFmtId="0" fontId="0" fillId="0" borderId="0" xfId="0" applyBorder="1"/>
    <xf numFmtId="0" fontId="1" fillId="0" borderId="1" xfId="0" applyFont="1" applyFill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C82D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412231189964295"/>
          <c:y val="0.11163806076883036"/>
          <c:w val="0.78045374816083213"/>
          <c:h val="0.78996731003485587"/>
        </c:manualLayout>
      </c:layout>
      <c:scatterChart>
        <c:scatterStyle val="smoothMarker"/>
        <c:ser>
          <c:idx val="0"/>
          <c:order val="0"/>
          <c:spPr>
            <a:ln w="47625" cap="sq" cmpd="sng">
              <a:solidFill>
                <a:srgbClr val="EC82DF"/>
              </a:solidFill>
            </a:ln>
          </c:spPr>
          <c:marker>
            <c:symbol val="none"/>
          </c:marker>
          <c:xVal>
            <c:numRef>
              <c:f>'ГР_1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'ГР_1 рода'!$F$5:$AJ$5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</c:ser>
        <c:axId val="74812032"/>
        <c:axId val="74817920"/>
      </c:scatterChart>
      <c:valAx>
        <c:axId val="74812032"/>
        <c:scaling>
          <c:orientation val="minMax"/>
          <c:max val="0.1"/>
        </c:scaling>
        <c:axPos val="b"/>
        <c:numFmt formatCode="0.00" sourceLinked="0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74817920"/>
        <c:crosses val="autoZero"/>
        <c:crossBetween val="midCat"/>
      </c:valAx>
      <c:valAx>
        <c:axId val="74817920"/>
        <c:scaling>
          <c:orientation val="minMax"/>
          <c:max val="350"/>
          <c:min val="0"/>
        </c:scaling>
        <c:axPos val="l"/>
        <c:majorGridlines/>
        <c:numFmt formatCode="#,##0.0" sourceLinked="0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74812032"/>
        <c:crosses val="autoZero"/>
        <c:crossBetween val="midCat"/>
      </c:valAx>
      <c:spPr>
        <a:noFill/>
      </c:spPr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509974421239619"/>
          <c:y val="8.4446767683451343E-2"/>
          <c:w val="0.76228566249362739"/>
          <c:h val="0.81715860517435313"/>
        </c:manualLayout>
      </c:layout>
      <c:scatterChart>
        <c:scatterStyle val="smoothMarker"/>
        <c:ser>
          <c:idx val="0"/>
          <c:order val="0"/>
          <c:spPr>
            <a:ln w="47625">
              <a:solidFill>
                <a:srgbClr val="EC82DF"/>
              </a:solidFill>
            </a:ln>
          </c:spPr>
          <c:marker>
            <c:symbol val="none"/>
          </c:marker>
          <c:xVal>
            <c:numRef>
              <c:f>'ГР_2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'ГР_2 рода'!$F$5:$AJ$5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axId val="74841472"/>
        <c:axId val="61854848"/>
      </c:scatterChart>
      <c:valAx>
        <c:axId val="74841472"/>
        <c:scaling>
          <c:orientation val="minMax"/>
          <c:max val="0.1"/>
        </c:scaling>
        <c:axPos val="b"/>
        <c:numFmt formatCode="0.00" sourceLinked="0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61854848"/>
        <c:crosses val="autoZero"/>
        <c:crossBetween val="midCat"/>
      </c:valAx>
      <c:valAx>
        <c:axId val="61854848"/>
        <c:scaling>
          <c:orientation val="minMax"/>
          <c:max val="350"/>
          <c:min val="0"/>
        </c:scaling>
        <c:axPos val="l"/>
        <c:majorGridlines/>
        <c:numFmt formatCode="#,##0.0" sourceLinked="0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74841472"/>
        <c:crosses val="autoZero"/>
        <c:crossBetween val="midCat"/>
      </c:val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510010402053211"/>
          <c:y val="8.2399427344309231E-2"/>
          <c:w val="0.75587226190693668"/>
          <c:h val="0.81920601288475303"/>
        </c:manualLayout>
      </c:layout>
      <c:scatterChart>
        <c:scatterStyle val="smoothMarker"/>
        <c:ser>
          <c:idx val="0"/>
          <c:order val="0"/>
          <c:spPr>
            <a:ln w="44450">
              <a:solidFill>
                <a:srgbClr val="EC82DF"/>
              </a:solidFill>
            </a:ln>
          </c:spPr>
          <c:marker>
            <c:symbol val="none"/>
          </c:marker>
          <c:xVal>
            <c:numRef>
              <c:f>'ГР_3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'ГР_3 рода'!$F$5:$AJ$5</c:f>
              <c:numCache>
                <c:formatCode>General</c:formatCode>
                <c:ptCount val="31"/>
                <c:pt idx="0">
                  <c:v>29.661999197871289</c:v>
                </c:pt>
                <c:pt idx="1">
                  <c:v>29.296781806566941</c:v>
                </c:pt>
                <c:pt idx="2">
                  <c:v>28.935233895675822</c:v>
                </c:pt>
                <c:pt idx="3">
                  <c:v>28.57734500133509</c:v>
                </c:pt>
                <c:pt idx="4">
                  <c:v>28.223094474061632</c:v>
                </c:pt>
                <c:pt idx="5">
                  <c:v>27.872451042938547</c:v>
                </c:pt>
                <c:pt idx="6">
                  <c:v>27.525373638766656</c:v>
                </c:pt>
                <c:pt idx="7">
                  <c:v>27.181810544127231</c:v>
                </c:pt>
                <c:pt idx="8">
                  <c:v>26.841700727225529</c:v>
                </c:pt>
                <c:pt idx="9">
                  <c:v>26.504972620206598</c:v>
                </c:pt>
                <c:pt idx="10">
                  <c:v>26.171545908345795</c:v>
                </c:pt>
                <c:pt idx="11">
                  <c:v>25.84132999772142</c:v>
                </c:pt>
                <c:pt idx="12">
                  <c:v>25.514226185724361</c:v>
                </c:pt>
                <c:pt idx="13">
                  <c:v>25.190125895089981</c:v>
                </c:pt>
                <c:pt idx="14">
                  <c:v>24.868913136284426</c:v>
                </c:pt>
                <c:pt idx="15">
                  <c:v>24.550462597229068</c:v>
                </c:pt>
                <c:pt idx="16">
                  <c:v>24.23464229665047</c:v>
                </c:pt>
                <c:pt idx="17">
                  <c:v>23.921311627016443</c:v>
                </c:pt>
                <c:pt idx="18">
                  <c:v>23.610324090909334</c:v>
                </c:pt>
                <c:pt idx="19">
                  <c:v>23.301525398344417</c:v>
                </c:pt>
                <c:pt idx="20">
                  <c:v>22.994756175941333</c:v>
                </c:pt>
                <c:pt idx="21">
                  <c:v>22.689850218730903</c:v>
                </c:pt>
                <c:pt idx="22">
                  <c:v>22.386637064443796</c:v>
                </c:pt>
                <c:pt idx="23">
                  <c:v>22.084940494163121</c:v>
                </c:pt>
                <c:pt idx="24">
                  <c:v>21.784580871292931</c:v>
                </c:pt>
                <c:pt idx="25">
                  <c:v>21.485373975227027</c:v>
                </c:pt>
                <c:pt idx="26">
                  <c:v>21.187133016162292</c:v>
                </c:pt>
                <c:pt idx="27">
                  <c:v>20.889667871777267</c:v>
                </c:pt>
                <c:pt idx="28">
                  <c:v>20.592786704481462</c:v>
                </c:pt>
                <c:pt idx="29">
                  <c:v>20.296295653561259</c:v>
                </c:pt>
                <c:pt idx="30">
                  <c:v>20</c:v>
                </c:pt>
              </c:numCache>
            </c:numRef>
          </c:yVal>
          <c:smooth val="1"/>
        </c:ser>
        <c:axId val="74869760"/>
        <c:axId val="75823360"/>
      </c:scatterChart>
      <c:valAx>
        <c:axId val="74869760"/>
        <c:scaling>
          <c:orientation val="minMax"/>
          <c:max val="0.1"/>
        </c:scaling>
        <c:axPos val="b"/>
        <c:numFmt formatCode="0.00" sourceLinked="0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75823360"/>
        <c:crosses val="autoZero"/>
        <c:crossBetween val="midCat"/>
      </c:valAx>
      <c:valAx>
        <c:axId val="75823360"/>
        <c:scaling>
          <c:orientation val="minMax"/>
          <c:max val="45"/>
          <c:min val="0"/>
        </c:scaling>
        <c:axPos val="l"/>
        <c:majorGridlines/>
        <c:numFmt formatCode="#,##0.0" sourceLinked="0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74869760"/>
        <c:crosses val="autoZero"/>
        <c:crossBetween val="midCat"/>
      </c:val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312964</xdr:colOff>
      <xdr:row>8</xdr:row>
      <xdr:rowOff>122464</xdr:rowOff>
    </xdr:from>
    <xdr:to>
      <xdr:col>33</xdr:col>
      <xdr:colOff>285750</xdr:colOff>
      <xdr:row>43</xdr:row>
      <xdr:rowOff>149679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0.07412</cdr:x>
      <cdr:y>0.03279</cdr:y>
    </cdr:from>
    <cdr:to>
      <cdr:x>0.17363</cdr:x>
      <cdr:y>0.09151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830035" y="219538"/>
          <a:ext cx="1114380" cy="3931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0.8932</cdr:x>
      <cdr:y>0.85365</cdr:y>
    </cdr:from>
    <cdr:to>
      <cdr:x>1</cdr:x>
      <cdr:y>0.91237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063649" y="5714955"/>
          <a:ext cx="1196019" cy="3931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444500</xdr:colOff>
      <xdr:row>10</xdr:row>
      <xdr:rowOff>95250</xdr:rowOff>
    </xdr:from>
    <xdr:to>
      <xdr:col>30</xdr:col>
      <xdr:colOff>444499</xdr:colOff>
      <xdr:row>50</xdr:row>
      <xdr:rowOff>31750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0.05567</cdr:x>
      <cdr:y>0.00637</cdr:y>
    </cdr:from>
    <cdr:to>
      <cdr:x>0.15518</cdr:x>
      <cdr:y>0.06509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614185" y="48135"/>
          <a:ext cx="1097907" cy="44371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0.88518</cdr:x>
      <cdr:y>0.86597</cdr:y>
    </cdr:from>
    <cdr:to>
      <cdr:x>0.99198</cdr:x>
      <cdr:y>0.92469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66348" y="6543676"/>
          <a:ext cx="1178338" cy="4437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434975</xdr:colOff>
      <xdr:row>12</xdr:row>
      <xdr:rowOff>15875</xdr:rowOff>
    </xdr:from>
    <xdr:to>
      <xdr:col>30</xdr:col>
      <xdr:colOff>523875</xdr:colOff>
      <xdr:row>48</xdr:row>
      <xdr:rowOff>142875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0.07059</cdr:x>
      <cdr:y>0.01546</cdr:y>
    </cdr:from>
    <cdr:to>
      <cdr:x>0.1701</cdr:x>
      <cdr:y>0.07418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772727" y="107994"/>
          <a:ext cx="1089376" cy="41016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0.90245</cdr:x>
      <cdr:y>0.88121</cdr:y>
    </cdr:from>
    <cdr:to>
      <cdr:x>0.98985</cdr:x>
      <cdr:y>0.93781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879505" y="5511762"/>
          <a:ext cx="956770" cy="35398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13"/>
  <sheetViews>
    <sheetView zoomScale="70" zoomScaleNormal="70" workbookViewId="0">
      <selection activeCell="D43" sqref="D43"/>
    </sheetView>
  </sheetViews>
  <sheetFormatPr defaultRowHeight="15"/>
  <cols>
    <col min="3" max="3" width="10.140625" bestFit="1" customWidth="1"/>
    <col min="6" max="36" width="6.7109375" customWidth="1"/>
  </cols>
  <sheetData>
    <row r="3" spans="2:36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>
      <c r="B5" s="1" t="s">
        <v>2</v>
      </c>
      <c r="C5" s="4">
        <f>(C9*C8*C4^2)/(2*C10)</f>
        <v>0.4333333333333334</v>
      </c>
      <c r="E5" t="s">
        <v>7</v>
      </c>
      <c r="F5">
        <v>300</v>
      </c>
      <c r="G5">
        <v>293.32310708172031</v>
      </c>
      <c r="H5">
        <v>286.64621416344067</v>
      </c>
      <c r="I5">
        <v>279.96976818142753</v>
      </c>
      <c r="J5">
        <v>273.29332219941438</v>
      </c>
      <c r="K5">
        <v>266.61775055667476</v>
      </c>
      <c r="L5">
        <v>259.94217891393515</v>
      </c>
      <c r="M5">
        <v>253.26787080065432</v>
      </c>
      <c r="N5">
        <v>246.59356268737349</v>
      </c>
      <c r="O5">
        <v>239.9208520714362</v>
      </c>
      <c r="P5">
        <v>233.24814145549891</v>
      </c>
      <c r="Q5">
        <v>226.57729248649036</v>
      </c>
      <c r="R5">
        <v>219.90644351748179</v>
      </c>
      <c r="S5">
        <v>213.23763898208321</v>
      </c>
      <c r="T5">
        <v>206.56883444668463</v>
      </c>
      <c r="U5">
        <v>199.9021677800182</v>
      </c>
      <c r="V5">
        <v>193.2355011133518</v>
      </c>
      <c r="W5">
        <v>186.57097231541749</v>
      </c>
      <c r="X5">
        <v>179.90644351748318</v>
      </c>
      <c r="Y5">
        <v>173.24395915315873</v>
      </c>
      <c r="Z5">
        <v>166.58147478883427</v>
      </c>
      <c r="AA5">
        <v>159.92085207143839</v>
      </c>
      <c r="AB5">
        <v>153.26022935404251</v>
      </c>
      <c r="AC5">
        <v>146.60120413398997</v>
      </c>
      <c r="AD5">
        <v>139.94217891393743</v>
      </c>
      <c r="AE5">
        <v>133.28441722334344</v>
      </c>
      <c r="AF5">
        <v>126.62665553274945</v>
      </c>
      <c r="AG5">
        <v>119.96976818142888</v>
      </c>
      <c r="AH5">
        <v>113.3128808301083</v>
      </c>
      <c r="AI5">
        <v>106.65644041505415</v>
      </c>
      <c r="AJ5">
        <v>100</v>
      </c>
    </row>
    <row r="6" spans="2:36">
      <c r="B6" s="1" t="s">
        <v>3</v>
      </c>
      <c r="C6" s="1">
        <v>500</v>
      </c>
      <c r="D6">
        <v>500.06666666666672</v>
      </c>
    </row>
    <row r="7" spans="2:36">
      <c r="E7" t="s">
        <v>8</v>
      </c>
      <c r="G7">
        <f>G5+(($C$10*$C$5)/($C$8*$C$9))*((H5-2*G5+F5)/($C$4^2))</f>
        <v>293.32310708172031</v>
      </c>
      <c r="H7">
        <f t="shared" ref="H7:AI7" si="1">H5+(($C$10*$C$5)/($C$8*$C$9))*((I5-2*H5+G5)/($C$4^2))</f>
        <v>286.64643763157392</v>
      </c>
      <c r="I7">
        <f t="shared" si="1"/>
        <v>279.96976818142753</v>
      </c>
      <c r="J7">
        <f t="shared" si="1"/>
        <v>273.29375936905114</v>
      </c>
      <c r="K7">
        <f t="shared" si="1"/>
        <v>266.61775055667476</v>
      </c>
      <c r="L7">
        <f t="shared" si="1"/>
        <v>259.94281067866456</v>
      </c>
      <c r="M7">
        <f t="shared" si="1"/>
        <v>253.26787080065432</v>
      </c>
      <c r="N7">
        <f t="shared" si="1"/>
        <v>246.59436143604526</v>
      </c>
      <c r="O7">
        <f t="shared" si="1"/>
        <v>239.9208520714362</v>
      </c>
      <c r="P7">
        <f t="shared" si="1"/>
        <v>233.2490722789633</v>
      </c>
      <c r="Q7">
        <f t="shared" si="1"/>
        <v>226.57729248649036</v>
      </c>
      <c r="R7">
        <f t="shared" si="1"/>
        <v>219.9074657342868</v>
      </c>
      <c r="S7">
        <f t="shared" si="1"/>
        <v>213.23763898208321</v>
      </c>
      <c r="T7">
        <f t="shared" si="1"/>
        <v>206.56990338105072</v>
      </c>
      <c r="U7">
        <f t="shared" si="1"/>
        <v>199.9021677800182</v>
      </c>
      <c r="V7">
        <f t="shared" si="1"/>
        <v>193.23657004771786</v>
      </c>
      <c r="W7">
        <f t="shared" si="1"/>
        <v>186.57097231541749</v>
      </c>
      <c r="X7">
        <f t="shared" si="1"/>
        <v>179.90746573428811</v>
      </c>
      <c r="Y7">
        <f t="shared" si="1"/>
        <v>173.24395915315873</v>
      </c>
      <c r="Z7">
        <f t="shared" si="1"/>
        <v>166.58240561229854</v>
      </c>
      <c r="AA7">
        <f t="shared" si="1"/>
        <v>159.92085207143839</v>
      </c>
      <c r="AB7">
        <f t="shared" si="1"/>
        <v>153.26102810271419</v>
      </c>
      <c r="AC7">
        <f t="shared" si="1"/>
        <v>146.60120413398997</v>
      </c>
      <c r="AD7">
        <f t="shared" si="1"/>
        <v>139.94281067866672</v>
      </c>
      <c r="AE7">
        <f t="shared" si="1"/>
        <v>133.28441722334344</v>
      </c>
      <c r="AF7">
        <f t="shared" si="1"/>
        <v>126.62709270238616</v>
      </c>
      <c r="AG7">
        <f t="shared" si="1"/>
        <v>119.96976818142888</v>
      </c>
      <c r="AH7">
        <f t="shared" si="1"/>
        <v>113.31310429824151</v>
      </c>
      <c r="AI7">
        <f t="shared" si="1"/>
        <v>106.65644041505415</v>
      </c>
    </row>
    <row r="8" spans="2:36">
      <c r="B8" s="1" t="s">
        <v>4</v>
      </c>
      <c r="C8" s="1">
        <v>460</v>
      </c>
    </row>
    <row r="9" spans="2:36">
      <c r="B9" s="2" t="s">
        <v>6</v>
      </c>
      <c r="C9" s="1">
        <v>7800</v>
      </c>
    </row>
    <row r="10" spans="2:36">
      <c r="B10" s="2" t="s">
        <v>5</v>
      </c>
      <c r="C10" s="1">
        <v>46</v>
      </c>
    </row>
    <row r="12" spans="2:36">
      <c r="B12" s="1" t="s">
        <v>14</v>
      </c>
      <c r="C12" s="1">
        <v>300</v>
      </c>
    </row>
    <row r="13" spans="2:36">
      <c r="B13" s="1" t="s">
        <v>11</v>
      </c>
      <c r="C13" s="1">
        <v>100</v>
      </c>
    </row>
  </sheetData>
  <conditionalFormatting sqref="F5:AJ5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3:AJ13"/>
  <sheetViews>
    <sheetView tabSelected="1" zoomScale="60" zoomScaleNormal="60" workbookViewId="0">
      <selection activeCell="H24" sqref="H24"/>
    </sheetView>
  </sheetViews>
  <sheetFormatPr defaultRowHeight="15"/>
  <sheetData>
    <row r="3" spans="2:36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>
      <c r="B5" s="1" t="s">
        <v>2</v>
      </c>
      <c r="C5" s="4">
        <f>(C9*C8*C4^2)/(2*C10)</f>
        <v>0.4333333333333334</v>
      </c>
      <c r="E5" t="s">
        <v>7</v>
      </c>
      <c r="F5">
        <f>(F8/$C$10)*$C$4+G5</f>
        <v>299.99997763108735</v>
      </c>
      <c r="G5">
        <v>293.33331096442066</v>
      </c>
      <c r="H5">
        <v>286.6666443611611</v>
      </c>
      <c r="I5">
        <v>279.99997782112894</v>
      </c>
      <c r="J5">
        <v>273.33331134396514</v>
      </c>
      <c r="K5">
        <v>266.66664492913264</v>
      </c>
      <c r="L5">
        <v>259.99997857591751</v>
      </c>
      <c r="M5">
        <v>253.3333122834313</v>
      </c>
      <c r="N5">
        <v>246.66664605061328</v>
      </c>
      <c r="O5">
        <v>239.99997987623377</v>
      </c>
      <c r="P5">
        <v>233.33331375889719</v>
      </c>
      <c r="Q5">
        <v>226.66664769704656</v>
      </c>
      <c r="R5">
        <v>219.9999816889673</v>
      </c>
      <c r="S5">
        <v>213.33331573279273</v>
      </c>
      <c r="T5">
        <v>206.66664982650872</v>
      </c>
      <c r="U5">
        <v>199.99998396796005</v>
      </c>
      <c r="V5">
        <v>193.33331815485587</v>
      </c>
      <c r="W5">
        <v>186.6666523847768</v>
      </c>
      <c r="X5">
        <v>179.99998665518126</v>
      </c>
      <c r="Y5">
        <v>173.33332096341309</v>
      </c>
      <c r="Z5">
        <v>166.66665530670878</v>
      </c>
      <c r="AA5">
        <v>159.9999896822055</v>
      </c>
      <c r="AB5">
        <v>153.33332408694912</v>
      </c>
      <c r="AC5">
        <v>146.66665851790265</v>
      </c>
      <c r="AD5">
        <v>139.99999297195473</v>
      </c>
      <c r="AE5">
        <v>133.33332744592857</v>
      </c>
      <c r="AF5">
        <v>126.66666193659087</v>
      </c>
      <c r="AG5">
        <v>119.99999644066111</v>
      </c>
      <c r="AH5">
        <v>113.3333309548207</v>
      </c>
      <c r="AI5">
        <v>106.66666547572241</v>
      </c>
      <c r="AJ5">
        <v>100</v>
      </c>
    </row>
    <row r="6" spans="2:36">
      <c r="B6" s="1" t="s">
        <v>3</v>
      </c>
      <c r="C6" s="1">
        <v>5000</v>
      </c>
      <c r="D6">
        <v>5000.2333333333345</v>
      </c>
    </row>
    <row r="7" spans="2:36">
      <c r="E7" t="s">
        <v>8</v>
      </c>
      <c r="G7">
        <f>G5+(($C$10*$C$5)/($C$8*$C$9))*((H5-2*G5+F5)/($C$4^2))</f>
        <v>293.33331099612423</v>
      </c>
      <c r="H7">
        <f>H5+(($C$10*$C$5)/($C$8*$C$9))*((I5-2*H5+G5)/($C$4^2))</f>
        <v>286.6666443927748</v>
      </c>
      <c r="I7">
        <f t="shared" ref="H7:AI7" si="1">I5+(($C$10*$C$5)/($C$8*$C$9))*((J5-2*I5+H5)/($C$4^2))</f>
        <v>279.99997785256312</v>
      </c>
      <c r="J7">
        <f t="shared" si="1"/>
        <v>273.33331137513079</v>
      </c>
      <c r="K7">
        <f t="shared" si="1"/>
        <v>266.66664495994132</v>
      </c>
      <c r="L7">
        <f t="shared" si="1"/>
        <v>259.99997860628196</v>
      </c>
      <c r="M7">
        <f t="shared" si="1"/>
        <v>253.3333123132654</v>
      </c>
      <c r="N7">
        <f t="shared" si="1"/>
        <v>246.66664607983253</v>
      </c>
      <c r="O7">
        <f t="shared" si="1"/>
        <v>239.99997990475524</v>
      </c>
      <c r="P7">
        <f t="shared" si="1"/>
        <v>233.33331378664016</v>
      </c>
      <c r="Q7">
        <f t="shared" si="1"/>
        <v>226.66664772393224</v>
      </c>
      <c r="R7">
        <f t="shared" si="1"/>
        <v>219.99998171491964</v>
      </c>
      <c r="S7">
        <f t="shared" si="1"/>
        <v>213.33331575773801</v>
      </c>
      <c r="T7">
        <f t="shared" si="1"/>
        <v>206.66664985037639</v>
      </c>
      <c r="U7">
        <f t="shared" si="1"/>
        <v>199.9999839906823</v>
      </c>
      <c r="V7">
        <f t="shared" si="1"/>
        <v>193.33331817636844</v>
      </c>
      <c r="W7">
        <f t="shared" si="1"/>
        <v>186.66665240501857</v>
      </c>
      <c r="X7">
        <f t="shared" si="1"/>
        <v>179.99998667409494</v>
      </c>
      <c r="Y7">
        <f t="shared" si="1"/>
        <v>173.33332098094502</v>
      </c>
      <c r="Z7">
        <f t="shared" si="1"/>
        <v>166.66665532280928</v>
      </c>
      <c r="AA7">
        <f t="shared" si="1"/>
        <v>159.99998969682895</v>
      </c>
      <c r="AB7">
        <f t="shared" si="1"/>
        <v>153.33332410005409</v>
      </c>
      <c r="AC7">
        <f t="shared" si="1"/>
        <v>146.66665852945192</v>
      </c>
      <c r="AD7">
        <f t="shared" si="1"/>
        <v>139.99999298191563</v>
      </c>
      <c r="AE7">
        <f t="shared" si="1"/>
        <v>133.33332745427279</v>
      </c>
      <c r="AF7">
        <f t="shared" si="1"/>
        <v>126.66666194329484</v>
      </c>
      <c r="AG7">
        <f t="shared" si="1"/>
        <v>119.99999644570579</v>
      </c>
      <c r="AH7">
        <f t="shared" si="1"/>
        <v>113.33333095819177</v>
      </c>
      <c r="AI7">
        <f t="shared" si="1"/>
        <v>106.66666547741035</v>
      </c>
    </row>
    <row r="8" spans="2:36">
      <c r="B8" s="1" t="s">
        <v>4</v>
      </c>
      <c r="C8" s="1">
        <v>460</v>
      </c>
      <c r="E8" t="s">
        <v>9</v>
      </c>
      <c r="F8">
        <v>92000</v>
      </c>
      <c r="G8">
        <f>-$C$10*((G5-F5)/$C$4)</f>
        <v>92000.000000000247</v>
      </c>
      <c r="H8">
        <f t="shared" ref="H8:AJ8" si="2">-$C$10*((H5-G5)/$C$4)</f>
        <v>91999.999124981885</v>
      </c>
      <c r="I8">
        <f t="shared" si="2"/>
        <v>91999.998252443896</v>
      </c>
      <c r="J8">
        <f t="shared" si="2"/>
        <v>91999.997384860442</v>
      </c>
      <c r="K8">
        <f t="shared" si="2"/>
        <v>91999.996524688366</v>
      </c>
      <c r="L8">
        <f t="shared" si="2"/>
        <v>91999.995674368853</v>
      </c>
      <c r="M8">
        <f t="shared" si="2"/>
        <v>91999.994836309721</v>
      </c>
      <c r="N8">
        <f t="shared" si="2"/>
        <v>91999.994012888623</v>
      </c>
      <c r="O8">
        <f t="shared" si="2"/>
        <v>91999.993206437299</v>
      </c>
      <c r="P8">
        <f t="shared" si="2"/>
        <v>91999.992419244736</v>
      </c>
      <c r="Q8">
        <f t="shared" si="2"/>
        <v>91999.991653538746</v>
      </c>
      <c r="R8">
        <f t="shared" si="2"/>
        <v>91999.990911493791</v>
      </c>
      <c r="S8">
        <f t="shared" si="2"/>
        <v>91999.990195209044</v>
      </c>
      <c r="T8">
        <f t="shared" si="2"/>
        <v>91999.989506719328</v>
      </c>
      <c r="U8">
        <f t="shared" si="2"/>
        <v>91999.988847971617</v>
      </c>
      <c r="V8">
        <f t="shared" si="2"/>
        <v>91999.988220837593</v>
      </c>
      <c r="W8">
        <f t="shared" si="2"/>
        <v>91999.987627091265</v>
      </c>
      <c r="X8">
        <f t="shared" si="2"/>
        <v>91999.987068418384</v>
      </c>
      <c r="Y8">
        <f t="shared" si="2"/>
        <v>91999.986546400789</v>
      </c>
      <c r="Z8">
        <f t="shared" si="2"/>
        <v>91999.986062519471</v>
      </c>
      <c r="AA8">
        <f t="shared" si="2"/>
        <v>91999.985618145278</v>
      </c>
      <c r="AB8">
        <f t="shared" si="2"/>
        <v>91999.985214537985</v>
      </c>
      <c r="AC8">
        <f t="shared" si="2"/>
        <v>91999.984852841313</v>
      </c>
      <c r="AD8">
        <f t="shared" si="2"/>
        <v>91999.984534081304</v>
      </c>
      <c r="AE8">
        <f t="shared" si="2"/>
        <v>91999.984259160876</v>
      </c>
      <c r="AF8">
        <f t="shared" si="2"/>
        <v>91999.984028860315</v>
      </c>
      <c r="AG8">
        <f t="shared" si="2"/>
        <v>91999.98384383072</v>
      </c>
      <c r="AH8">
        <f t="shared" si="2"/>
        <v>91999.983704597675</v>
      </c>
      <c r="AI8">
        <f t="shared" si="2"/>
        <v>91999.983611556323</v>
      </c>
      <c r="AJ8">
        <f t="shared" si="2"/>
        <v>91999.983564969269</v>
      </c>
    </row>
    <row r="9" spans="2:36">
      <c r="B9" s="2" t="s">
        <v>6</v>
      </c>
      <c r="C9" s="1">
        <v>7800</v>
      </c>
    </row>
    <row r="10" spans="2:36">
      <c r="B10" s="2" t="s">
        <v>5</v>
      </c>
      <c r="C10" s="1">
        <v>46</v>
      </c>
    </row>
    <row r="12" spans="2:36">
      <c r="B12" s="1" t="s">
        <v>10</v>
      </c>
      <c r="C12" s="1">
        <v>92000</v>
      </c>
    </row>
    <row r="13" spans="2:36">
      <c r="B13" s="1" t="s">
        <v>11</v>
      </c>
      <c r="C13" s="1">
        <v>100</v>
      </c>
    </row>
  </sheetData>
  <conditionalFormatting sqref="F5:AJ5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3:AJ21"/>
  <sheetViews>
    <sheetView zoomScale="60" zoomScaleNormal="60" workbookViewId="0">
      <selection activeCell="J39" sqref="J39"/>
    </sheetView>
  </sheetViews>
  <sheetFormatPr defaultRowHeight="15"/>
  <sheetData>
    <row r="3" spans="2:36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>
      <c r="B5" s="1" t="s">
        <v>2</v>
      </c>
      <c r="C5" s="4">
        <f>(C9*C8*C4^2)/(2*C10)</f>
        <v>0.4333333333333334</v>
      </c>
      <c r="E5" t="s">
        <v>7</v>
      </c>
      <c r="F5">
        <f>G5+($C$11*($C$13-$C$14)*$C$4)/$C$10</f>
        <v>29.661999197871289</v>
      </c>
      <c r="G5">
        <v>29.296781806566941</v>
      </c>
      <c r="H5">
        <v>28.935233895675822</v>
      </c>
      <c r="I5">
        <v>28.57734500133509</v>
      </c>
      <c r="J5">
        <v>28.223094474061632</v>
      </c>
      <c r="K5">
        <v>27.872451042938547</v>
      </c>
      <c r="L5">
        <v>27.525373638766656</v>
      </c>
      <c r="M5">
        <v>27.181810544127231</v>
      </c>
      <c r="N5">
        <v>26.841700727225529</v>
      </c>
      <c r="O5">
        <v>26.504972620206598</v>
      </c>
      <c r="P5">
        <v>26.171545908345795</v>
      </c>
      <c r="Q5">
        <v>25.84132999772142</v>
      </c>
      <c r="R5">
        <v>25.514226185724361</v>
      </c>
      <c r="S5">
        <v>25.190125895089981</v>
      </c>
      <c r="T5">
        <v>24.868913136284426</v>
      </c>
      <c r="U5">
        <v>24.550462597229068</v>
      </c>
      <c r="V5">
        <v>24.23464229665047</v>
      </c>
      <c r="W5">
        <v>23.921311627016443</v>
      </c>
      <c r="X5">
        <v>23.610324090909334</v>
      </c>
      <c r="Y5">
        <v>23.301525398344417</v>
      </c>
      <c r="Z5">
        <v>22.994756175941333</v>
      </c>
      <c r="AA5">
        <v>22.689850218730903</v>
      </c>
      <c r="AB5">
        <v>22.386637064443796</v>
      </c>
      <c r="AC5">
        <v>22.084940494163121</v>
      </c>
      <c r="AD5">
        <v>21.784580871292931</v>
      </c>
      <c r="AE5">
        <v>21.485373975227027</v>
      </c>
      <c r="AF5">
        <v>21.187133016162292</v>
      </c>
      <c r="AG5">
        <v>20.889667871777267</v>
      </c>
      <c r="AH5">
        <v>20.592786704481462</v>
      </c>
      <c r="AI5">
        <v>20.296295653561259</v>
      </c>
      <c r="AJ5">
        <v>20</v>
      </c>
    </row>
    <row r="6" spans="2:36">
      <c r="B6" s="1" t="s">
        <v>3</v>
      </c>
      <c r="C6" s="1">
        <v>1000</v>
      </c>
      <c r="D6">
        <v>1000.1333333333334</v>
      </c>
    </row>
    <row r="7" spans="2:36">
      <c r="E7" t="s">
        <v>8</v>
      </c>
      <c r="G7">
        <f>G5+(($C$10*$C$5)/($C$9*$C$8))*((H5-2*G5+F5)/($C$4^2))</f>
        <v>29.298616546773555</v>
      </c>
      <c r="H7">
        <f>H5+(($C$10*$C$5)/($C$9*$C$8))*((I5-2*H5+G5)/($C$4^2))</f>
        <v>28.937063403951015</v>
      </c>
      <c r="I7">
        <f t="shared" ref="I7:AI7" si="1">I5+(($C$10*$C$5)/($C$9*$C$8))*((J5-2*I5+H5)/($C$4^2))</f>
        <v>28.579164184868727</v>
      </c>
      <c r="J7">
        <f t="shared" si="1"/>
        <v>28.22489802213682</v>
      </c>
      <c r="K7">
        <f t="shared" si="1"/>
        <v>27.874234056414146</v>
      </c>
      <c r="L7">
        <f t="shared" si="1"/>
        <v>27.527130793532891</v>
      </c>
      <c r="M7">
        <f t="shared" si="1"/>
        <v>27.183537182996091</v>
      </c>
      <c r="N7">
        <f t="shared" si="1"/>
        <v>26.843391582166916</v>
      </c>
      <c r="O7">
        <f t="shared" si="1"/>
        <v>26.50662331778566</v>
      </c>
      <c r="P7">
        <f t="shared" si="1"/>
        <v>26.173151308964009</v>
      </c>
      <c r="Q7">
        <f t="shared" si="1"/>
        <v>25.84288604703508</v>
      </c>
      <c r="R7">
        <f t="shared" si="1"/>
        <v>25.515727946405701</v>
      </c>
      <c r="S7">
        <f t="shared" si="1"/>
        <v>25.191569661004394</v>
      </c>
      <c r="T7">
        <f t="shared" si="1"/>
        <v>24.870294246159524</v>
      </c>
      <c r="U7">
        <f t="shared" si="1"/>
        <v>24.551777716467448</v>
      </c>
      <c r="V7">
        <f t="shared" si="1"/>
        <v>24.235887112122754</v>
      </c>
      <c r="W7">
        <f t="shared" si="1"/>
        <v>23.922483193779904</v>
      </c>
      <c r="X7">
        <f t="shared" si="1"/>
        <v>23.61141851268043</v>
      </c>
      <c r="Y7">
        <f t="shared" si="1"/>
        <v>23.302540133425332</v>
      </c>
      <c r="Z7">
        <f t="shared" si="1"/>
        <v>22.99568780853766</v>
      </c>
      <c r="AA7">
        <f t="shared" si="1"/>
        <v>22.690696620192565</v>
      </c>
      <c r="AB7">
        <f t="shared" si="1"/>
        <v>22.387395356447012</v>
      </c>
      <c r="AC7">
        <f t="shared" si="1"/>
        <v>22.085608967868364</v>
      </c>
      <c r="AD7">
        <f t="shared" si="1"/>
        <v>21.785157234695074</v>
      </c>
      <c r="AE7">
        <f t="shared" si="1"/>
        <v>21.485856943727612</v>
      </c>
      <c r="AF7">
        <f t="shared" si="1"/>
        <v>21.187520923502149</v>
      </c>
      <c r="AG7">
        <f t="shared" si="1"/>
        <v>20.889959860321877</v>
      </c>
      <c r="AH7">
        <f t="shared" si="1"/>
        <v>20.592981762669261</v>
      </c>
      <c r="AI7">
        <f t="shared" si="1"/>
        <v>20.296393352240731</v>
      </c>
    </row>
    <row r="8" spans="2:36">
      <c r="B8" s="1" t="s">
        <v>4</v>
      </c>
      <c r="C8" s="1">
        <v>460</v>
      </c>
      <c r="E8" t="s">
        <v>9</v>
      </c>
      <c r="F8">
        <f>C13-C14</f>
        <v>80</v>
      </c>
      <c r="G8">
        <f>(F5-G5)*$C$10/($C$11*$C$4)</f>
        <v>80.000000000000114</v>
      </c>
      <c r="H8">
        <f t="shared" ref="H8:AI8" si="2">(G5-H5)*$C$10/($C$11*$C$4)</f>
        <v>79.196209052340308</v>
      </c>
      <c r="I8">
        <f t="shared" si="2"/>
        <v>78.394710188922261</v>
      </c>
      <c r="J8">
        <f t="shared" si="2"/>
        <v>77.597734545614443</v>
      </c>
      <c r="K8">
        <f t="shared" si="2"/>
        <v>76.807608722199674</v>
      </c>
      <c r="L8">
        <f t="shared" si="2"/>
        <v>76.026479009080916</v>
      </c>
      <c r="M8">
        <f t="shared" si="2"/>
        <v>75.256677873397805</v>
      </c>
      <c r="N8">
        <f t="shared" si="2"/>
        <v>74.500245607039446</v>
      </c>
      <c r="O8">
        <f t="shared" si="2"/>
        <v>73.759490108908778</v>
      </c>
      <c r="P8">
        <f t="shared" si="2"/>
        <v>73.036327359985307</v>
      </c>
      <c r="Q8">
        <f t="shared" si="2"/>
        <v>72.333008993910695</v>
      </c>
      <c r="R8">
        <f t="shared" si="2"/>
        <v>71.651311199355789</v>
      </c>
      <c r="S8">
        <f t="shared" si="2"/>
        <v>70.993396996102319</v>
      </c>
      <c r="T8">
        <f t="shared" si="2"/>
        <v>70.360890024073825</v>
      </c>
      <c r="U8">
        <f t="shared" si="2"/>
        <v>69.755832364507185</v>
      </c>
      <c r="V8">
        <f t="shared" si="2"/>
        <v>69.17968488864507</v>
      </c>
      <c r="W8">
        <f t="shared" si="2"/>
        <v>68.634337157929721</v>
      </c>
      <c r="X8">
        <f>(W5-X5)*$C$10/($C$11*$C$4)</f>
        <v>68.12107933774783</v>
      </c>
      <c r="Y8">
        <f t="shared" si="2"/>
        <v>67.641618371362739</v>
      </c>
      <c r="Z8">
        <f t="shared" si="2"/>
        <v>67.19706776448497</v>
      </c>
      <c r="AA8">
        <f t="shared" si="2"/>
        <v>66.788923960379847</v>
      </c>
      <c r="AB8">
        <f t="shared" si="2"/>
        <v>66.418119510509158</v>
      </c>
      <c r="AC8">
        <f t="shared" si="2"/>
        <v>66.085915394814677</v>
      </c>
      <c r="AD8">
        <f t="shared" si="2"/>
        <v>65.793060247755776</v>
      </c>
      <c r="AE8">
        <f t="shared" si="2"/>
        <v>65.540558185864683</v>
      </c>
      <c r="AF8">
        <f t="shared" si="2"/>
        <v>65.328971985608618</v>
      </c>
      <c r="AG8">
        <f t="shared" si="2"/>
        <v>65.159031627196072</v>
      </c>
      <c r="AH8">
        <f t="shared" si="2"/>
        <v>65.031112836223883</v>
      </c>
      <c r="AI8">
        <f t="shared" si="2"/>
        <v>64.945658772996794</v>
      </c>
    </row>
    <row r="9" spans="2:36">
      <c r="B9" s="2" t="s">
        <v>6</v>
      </c>
      <c r="C9" s="1">
        <v>7800</v>
      </c>
    </row>
    <row r="10" spans="2:36">
      <c r="B10" s="2" t="s">
        <v>5</v>
      </c>
      <c r="C10" s="1">
        <v>46</v>
      </c>
    </row>
    <row r="11" spans="2:36">
      <c r="B11" s="7" t="s">
        <v>12</v>
      </c>
      <c r="C11" s="8">
        <v>63</v>
      </c>
    </row>
    <row r="12" spans="2:36">
      <c r="B12" s="1" t="s">
        <v>10</v>
      </c>
      <c r="C12" s="1">
        <v>92000</v>
      </c>
    </row>
    <row r="13" spans="2:36">
      <c r="B13" s="1" t="s">
        <v>11</v>
      </c>
      <c r="C13" s="1">
        <v>100</v>
      </c>
    </row>
    <row r="14" spans="2:36">
      <c r="B14" s="8" t="s">
        <v>13</v>
      </c>
      <c r="C14" s="1">
        <v>20</v>
      </c>
    </row>
    <row r="16" spans="2:36">
      <c r="B16" s="5"/>
      <c r="C16" s="6"/>
    </row>
    <row r="17" spans="2:3">
      <c r="B17" s="5"/>
      <c r="C17" s="6"/>
    </row>
    <row r="18" spans="2:3">
      <c r="B18" s="5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</sheetData>
  <conditionalFormatting sqref="F5:AJ5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ГР_1 рода</vt:lpstr>
      <vt:lpstr>ГР_2 рода</vt:lpstr>
      <vt:lpstr>ГР_3 рода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Админ</cp:lastModifiedBy>
  <dcterms:created xsi:type="dcterms:W3CDTF">2021-03-21T16:37:37Z</dcterms:created>
  <dcterms:modified xsi:type="dcterms:W3CDTF">2021-04-04T18:49:54Z</dcterms:modified>
</cp:coreProperties>
</file>