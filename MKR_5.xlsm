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6.xml" ContentType="application/vnd.ms-office.chart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xl/charts/style4.xml" ContentType="application/vnd.ms-office.chartstyle+xml"/>
  <Override PartName="/xl/charts/style5.xml" ContentType="application/vnd.ms-office.chartsty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style2.xml" ContentType="application/vnd.ms-office.chart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olors6.xml" ContentType="application/vnd.ms-office.chartcolorstyle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harts/colors4.xml" ContentType="application/vnd.ms-office.chartcolorstyle+xml"/>
  <Override PartName="/xl/charts/colors5.xml" ContentType="application/vnd.ms-office.chartcolorstyle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ЭтаКнига"/>
  <bookViews>
    <workbookView xWindow="-105" yWindow="-105" windowWidth="22140" windowHeight="13170"/>
  </bookViews>
  <sheets>
    <sheet name="ro=const" sheetId="1" r:id="rId1"/>
    <sheet name="ro=var" sheetId="2" r:id="rId2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" i="2"/>
  <c r="Q12"/>
  <c r="P12"/>
  <c r="O12"/>
  <c r="N12"/>
  <c r="M12"/>
  <c r="L12"/>
  <c r="K12"/>
  <c r="J12"/>
  <c r="I12"/>
  <c r="H12"/>
  <c r="C8"/>
  <c r="Q4"/>
  <c r="G4"/>
  <c r="C4"/>
  <c r="H2" s="1"/>
  <c r="I2" s="1"/>
  <c r="J2" s="1"/>
  <c r="K2" s="1"/>
  <c r="L2" s="1"/>
  <c r="M2" s="1"/>
  <c r="N2" s="1"/>
  <c r="O2" s="1"/>
  <c r="P2" s="1"/>
  <c r="Q2" s="1"/>
  <c r="H3"/>
  <c r="H4" s="1"/>
  <c r="H3" i="1"/>
  <c r="H4" s="1"/>
  <c r="G12" s="1"/>
  <c r="C8"/>
  <c r="I12"/>
  <c r="I16" s="1"/>
  <c r="I17" s="1"/>
  <c r="I18" s="1"/>
  <c r="I21" s="1"/>
  <c r="J12"/>
  <c r="J16" s="1"/>
  <c r="J17" s="1"/>
  <c r="H12"/>
  <c r="H16" s="1"/>
  <c r="H17" s="1"/>
  <c r="Q4"/>
  <c r="G4"/>
  <c r="I3"/>
  <c r="J3" s="1"/>
  <c r="K3" s="1"/>
  <c r="L3" s="1"/>
  <c r="M3" s="1"/>
  <c r="N3" s="1"/>
  <c r="O3" s="1"/>
  <c r="P3" s="1"/>
  <c r="P4" s="1"/>
  <c r="C4"/>
  <c r="H2" s="1"/>
  <c r="I2" s="1"/>
  <c r="J2" s="1"/>
  <c r="K2" s="1"/>
  <c r="L2" s="1"/>
  <c r="M2" s="1"/>
  <c r="N2" s="1"/>
  <c r="O2" s="1"/>
  <c r="P2" s="1"/>
  <c r="Q2" s="1"/>
  <c r="G16" l="1"/>
  <c r="G17" s="1"/>
  <c r="G18" s="1"/>
  <c r="G21" s="1"/>
  <c r="G13"/>
  <c r="L4"/>
  <c r="I3" i="2"/>
  <c r="I4" s="1"/>
  <c r="I16"/>
  <c r="I17" s="1"/>
  <c r="M16"/>
  <c r="M17" s="1"/>
  <c r="M18" s="1"/>
  <c r="Q16"/>
  <c r="Q17" s="1"/>
  <c r="O4" i="1"/>
  <c r="K4"/>
  <c r="N4"/>
  <c r="J4"/>
  <c r="M4"/>
  <c r="I4"/>
  <c r="J16" i="2"/>
  <c r="J17" s="1"/>
  <c r="N16"/>
  <c r="N17" s="1"/>
  <c r="I22" i="1"/>
  <c r="I23" s="1"/>
  <c r="I20"/>
  <c r="Q14" i="2"/>
  <c r="K16"/>
  <c r="K17" s="1"/>
  <c r="K18" s="1"/>
  <c r="Q9"/>
  <c r="I9"/>
  <c r="G12"/>
  <c r="H9"/>
  <c r="O16"/>
  <c r="O17" s="1"/>
  <c r="O18" s="1"/>
  <c r="I18"/>
  <c r="Q18"/>
  <c r="H16"/>
  <c r="H17" s="1"/>
  <c r="H18" s="1"/>
  <c r="L16"/>
  <c r="L17" s="1"/>
  <c r="L18" s="1"/>
  <c r="P16"/>
  <c r="P17" s="1"/>
  <c r="P18" s="1"/>
  <c r="J18"/>
  <c r="N18"/>
  <c r="J3"/>
  <c r="I9" i="1"/>
  <c r="L12"/>
  <c r="L16" s="1"/>
  <c r="L17" s="1"/>
  <c r="L18" s="1"/>
  <c r="L21" s="1"/>
  <c r="K12"/>
  <c r="K16" s="1"/>
  <c r="K17" s="1"/>
  <c r="K18" s="1"/>
  <c r="K21" s="1"/>
  <c r="H9"/>
  <c r="J9"/>
  <c r="J18"/>
  <c r="J21" s="1"/>
  <c r="H18"/>
  <c r="H21" s="1"/>
  <c r="G9"/>
  <c r="G20" l="1"/>
  <c r="G22"/>
  <c r="G23" s="1"/>
  <c r="L22"/>
  <c r="L23" s="1"/>
  <c r="L20"/>
  <c r="H22"/>
  <c r="H23" s="1"/>
  <c r="H20"/>
  <c r="J22"/>
  <c r="J23" s="1"/>
  <c r="J20"/>
  <c r="K22"/>
  <c r="K23" s="1"/>
  <c r="K20"/>
  <c r="H10" i="2"/>
  <c r="H13" s="1"/>
  <c r="H14" s="1"/>
  <c r="G13"/>
  <c r="G16"/>
  <c r="G17" s="1"/>
  <c r="G18" s="1"/>
  <c r="G9"/>
  <c r="G10" s="1"/>
  <c r="K3"/>
  <c r="J4"/>
  <c r="J9" s="1"/>
  <c r="I10" i="1"/>
  <c r="I13" s="1"/>
  <c r="H10"/>
  <c r="H13" s="1"/>
  <c r="L9"/>
  <c r="G10"/>
  <c r="K9"/>
  <c r="J10" s="1"/>
  <c r="J13" s="1"/>
  <c r="M12"/>
  <c r="G14" i="2" l="1"/>
  <c r="L3"/>
  <c r="K4"/>
  <c r="K9" s="1"/>
  <c r="J10" s="1"/>
  <c r="J13" s="1"/>
  <c r="J14" s="1"/>
  <c r="I10"/>
  <c r="I13" s="1"/>
  <c r="I14" s="1"/>
  <c r="M16" i="1"/>
  <c r="M17" s="1"/>
  <c r="M18" s="1"/>
  <c r="M21" s="1"/>
  <c r="M9"/>
  <c r="L10" s="1"/>
  <c r="L13" s="1"/>
  <c r="K10"/>
  <c r="K13" s="1"/>
  <c r="M20" l="1"/>
  <c r="M22"/>
  <c r="M23" s="1"/>
  <c r="M3" i="2"/>
  <c r="L4"/>
  <c r="L9" s="1"/>
  <c r="O12" i="1"/>
  <c r="N12"/>
  <c r="M4" i="2" l="1"/>
  <c r="M9" s="1"/>
  <c r="L10" s="1"/>
  <c r="L13" s="1"/>
  <c r="L14" s="1"/>
  <c r="N3"/>
  <c r="K10"/>
  <c r="K13" s="1"/>
  <c r="K14" s="1"/>
  <c r="N16" i="1"/>
  <c r="N17" s="1"/>
  <c r="N18" s="1"/>
  <c r="N21" s="1"/>
  <c r="N9"/>
  <c r="M10" s="1"/>
  <c r="M13" s="1"/>
  <c r="O16"/>
  <c r="O17" s="1"/>
  <c r="O18" s="1"/>
  <c r="O21" s="1"/>
  <c r="O9"/>
  <c r="N20" l="1"/>
  <c r="N22"/>
  <c r="N23" s="1"/>
  <c r="O20"/>
  <c r="O22"/>
  <c r="O23" s="1"/>
  <c r="N4" i="2"/>
  <c r="N9" s="1"/>
  <c r="M10" s="1"/>
  <c r="M13" s="1"/>
  <c r="M14" s="1"/>
  <c r="O3"/>
  <c r="Q13" i="1"/>
  <c r="Q12"/>
  <c r="P12"/>
  <c r="N10"/>
  <c r="N13" s="1"/>
  <c r="P3" i="2" l="1"/>
  <c r="P4" s="1"/>
  <c r="P9" s="1"/>
  <c r="P10" s="1"/>
  <c r="P13" s="1"/>
  <c r="P14" s="1"/>
  <c r="O4"/>
  <c r="O9" s="1"/>
  <c r="P16" i="1"/>
  <c r="P17" s="1"/>
  <c r="P18" s="1"/>
  <c r="P21" s="1"/>
  <c r="P9"/>
  <c r="Q16"/>
  <c r="Q17" s="1"/>
  <c r="Q18" s="1"/>
  <c r="Q21" s="1"/>
  <c r="Q9"/>
  <c r="P22" l="1"/>
  <c r="P23" s="1"/>
  <c r="P20"/>
  <c r="Q20"/>
  <c r="Q22"/>
  <c r="Q23" s="1"/>
  <c r="O10" i="2"/>
  <c r="O13" s="1"/>
  <c r="O14" s="1"/>
  <c r="N10"/>
  <c r="N13" s="1"/>
  <c r="N14" s="1"/>
  <c r="P10" i="1"/>
  <c r="P13" s="1"/>
  <c r="O10"/>
  <c r="O13" s="1"/>
</calcChain>
</file>

<file path=xl/sharedStrings.xml><?xml version="1.0" encoding="utf-8"?>
<sst xmlns="http://schemas.openxmlformats.org/spreadsheetml/2006/main" count="58" uniqueCount="25">
  <si>
    <t>L</t>
  </si>
  <si>
    <t>dx</t>
  </si>
  <si>
    <t>k</t>
  </si>
  <si>
    <t>R</t>
  </si>
  <si>
    <t>Cp</t>
  </si>
  <si>
    <t>p*</t>
  </si>
  <si>
    <t>T*</t>
  </si>
  <si>
    <t>n</t>
  </si>
  <si>
    <t>N</t>
  </si>
  <si>
    <t>x</t>
  </si>
  <si>
    <t>A</t>
  </si>
  <si>
    <t>U</t>
  </si>
  <si>
    <t>p</t>
  </si>
  <si>
    <t>ro</t>
  </si>
  <si>
    <t>G</t>
  </si>
  <si>
    <t>dp</t>
  </si>
  <si>
    <t>T</t>
  </si>
  <si>
    <t>c</t>
  </si>
  <si>
    <t>M</t>
  </si>
  <si>
    <t>lamda</t>
  </si>
  <si>
    <t>tau_lam</t>
  </si>
  <si>
    <t>pi_lamda</t>
  </si>
  <si>
    <t>U_3d</t>
  </si>
  <si>
    <t>p_3d</t>
  </si>
  <si>
    <t>G_3d</t>
  </si>
</sst>
</file>

<file path=xl/styles.xml><?xml version="1.0" encoding="utf-8"?>
<styleSheet xmlns="http://schemas.openxmlformats.org/spreadsheetml/2006/main">
  <numFmts count="3">
    <numFmt numFmtId="164" formatCode="0.000"/>
    <numFmt numFmtId="165" formatCode="0.0000"/>
    <numFmt numFmtId="166" formatCode="0.00000"/>
  </numFmts>
  <fonts count="5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3FDF8"/>
        <bgColor indexed="64"/>
      </patternFill>
    </fill>
    <fill>
      <patternFill patternType="solid">
        <fgColor rgb="FFFC74B2"/>
        <bgColor indexed="64"/>
      </patternFill>
    </fill>
    <fill>
      <patternFill patternType="solid">
        <fgColor rgb="FFFBFB1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7" borderId="1"/>
    <xf numFmtId="0" fontId="2" fillId="8" borderId="1"/>
    <xf numFmtId="0" fontId="2" fillId="9" borderId="1"/>
    <xf numFmtId="0" fontId="3" fillId="10" borderId="1"/>
  </cellStyleXfs>
  <cellXfs count="26">
    <xf numFmtId="0" fontId="0" fillId="0" borderId="0" xfId="0"/>
    <xf numFmtId="0" fontId="1" fillId="0" borderId="0" xfId="0" applyFont="1" applyBorder="1"/>
    <xf numFmtId="0" fontId="0" fillId="0" borderId="0" xfId="0" applyFont="1"/>
    <xf numFmtId="0" fontId="0" fillId="0" borderId="1" xfId="0" applyFont="1" applyBorder="1"/>
    <xf numFmtId="1" fontId="0" fillId="0" borderId="1" xfId="0" applyNumberFormat="1" applyFont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0" fillId="2" borderId="1" xfId="0" applyNumberFormat="1" applyFont="1" applyFill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0" fontId="0" fillId="6" borderId="1" xfId="0" applyFont="1" applyFill="1" applyBorder="1"/>
    <xf numFmtId="1" fontId="0" fillId="6" borderId="1" xfId="0" applyNumberFormat="1" applyFont="1" applyFill="1" applyBorder="1" applyAlignment="1">
      <alignment horizontal="center"/>
    </xf>
    <xf numFmtId="0" fontId="0" fillId="4" borderId="1" xfId="0" applyFont="1" applyFill="1" applyBorder="1"/>
    <xf numFmtId="164" fontId="0" fillId="6" borderId="1" xfId="0" applyNumberFormat="1" applyFont="1" applyFill="1" applyBorder="1" applyAlignment="1">
      <alignment horizontal="center"/>
    </xf>
    <xf numFmtId="0" fontId="0" fillId="0" borderId="0" xfId="0" applyFont="1" applyBorder="1"/>
    <xf numFmtId="2" fontId="0" fillId="0" borderId="0" xfId="0" applyNumberFormat="1" applyFont="1" applyBorder="1" applyAlignment="1">
      <alignment horizontal="center"/>
    </xf>
    <xf numFmtId="0" fontId="0" fillId="3" borderId="1" xfId="0" applyFont="1" applyFill="1" applyBorder="1"/>
    <xf numFmtId="166" fontId="0" fillId="0" borderId="1" xfId="0" applyNumberFormat="1" applyFont="1" applyBorder="1" applyAlignment="1">
      <alignment horizontal="center"/>
    </xf>
    <xf numFmtId="166" fontId="0" fillId="3" borderId="1" xfId="0" applyNumberFormat="1" applyFont="1" applyFill="1" applyBorder="1" applyAlignment="1">
      <alignment horizontal="center"/>
    </xf>
    <xf numFmtId="165" fontId="0" fillId="3" borderId="1" xfId="0" applyNumberFormat="1" applyFont="1" applyFill="1" applyBorder="1" applyAlignment="1">
      <alignment horizontal="center"/>
    </xf>
    <xf numFmtId="1" fontId="0" fillId="3" borderId="1" xfId="0" applyNumberFormat="1" applyFont="1" applyFill="1" applyBorder="1" applyAlignment="1">
      <alignment horizontal="center"/>
    </xf>
    <xf numFmtId="0" fontId="0" fillId="5" borderId="1" xfId="0" applyFont="1" applyFill="1" applyBorder="1"/>
    <xf numFmtId="0" fontId="0" fillId="0" borderId="1" xfId="0" applyFont="1" applyFill="1" applyBorder="1"/>
    <xf numFmtId="0" fontId="2" fillId="7" borderId="1" xfId="1"/>
    <xf numFmtId="0" fontId="2" fillId="8" borderId="1" xfId="2"/>
    <xf numFmtId="0" fontId="2" fillId="9" borderId="1" xfId="3"/>
    <xf numFmtId="0" fontId="3" fillId="10" borderId="1" xfId="4"/>
  </cellXfs>
  <cellStyles count="5">
    <cellStyle name="Обычный" xfId="0" builtinId="0"/>
    <cellStyle name="Стиль 1" xfId="1"/>
    <cellStyle name="Стиль 2" xfId="2"/>
    <cellStyle name="Стиль 3" xfId="3"/>
    <cellStyle name="Стиль 4" xfId="4"/>
  </cellStyles>
  <dxfs count="0"/>
  <tableStyles count="0" defaultTableStyle="TableStyleMedium2" defaultPivotStyle="PivotStyleLight16"/>
  <colors>
    <mruColors>
      <color rgb="FF54F747"/>
      <color rgb="FF23FDF8"/>
      <color rgb="FFFC74B2"/>
      <color rgb="FFFBFB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0.12264995113433644"/>
          <c:y val="3.7724138902244957E-2"/>
          <c:w val="0.82505012188181659"/>
          <c:h val="0.82727931132297539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38100" cap="rnd">
                <a:solidFill>
                  <a:srgbClr val="FC74B2"/>
                </a:solidFill>
                <a:prstDash val="sysDot"/>
              </a:ln>
              <a:effectLst/>
            </c:spPr>
            <c:trendlineType val="linear"/>
          </c:trendline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0-C31D-4B34-8F47-90EF68A5AA29}"/>
            </c:ext>
          </c:extLst>
        </c:ser>
        <c:dLbls/>
        <c:axId val="57766272"/>
        <c:axId val="57768192"/>
      </c:scatterChart>
      <c:valAx>
        <c:axId val="57766272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chemeClr val="tx1"/>
                    </a:solidFill>
                  </a:rPr>
                  <a:t>x, </a:t>
                </a:r>
                <a:r>
                  <a:rPr lang="ru-RU" sz="16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2022514705119329"/>
              <c:y val="0.8830908787311218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7768192"/>
        <c:crosses val="autoZero"/>
        <c:crossBetween val="midCat"/>
        <c:majorUnit val="1.0000000000000004E-2"/>
      </c:valAx>
      <c:valAx>
        <c:axId val="5776819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6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R, </a:t>
                </a:r>
                <a:r>
                  <a:rPr lang="ru-RU" sz="16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3.1417896437528632E-2"/>
              <c:y val="1.5145784589262256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776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0.15827227729412871"/>
          <c:y val="3.7547950736927113E-2"/>
          <c:w val="0.79680281872772718"/>
          <c:h val="0.80311452654956594"/>
        </c:manualLayout>
      </c:layout>
      <c:scatterChart>
        <c:scatterStyle val="smoothMarker"/>
        <c:ser>
          <c:idx val="0"/>
          <c:order val="0"/>
          <c:spPr>
            <a:ln w="38100" cap="rnd">
              <a:solidFill>
                <a:srgbClr val="FC74B2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'ro=const'!$G$9:$Q$9</c:f>
              <c:numCache>
                <c:formatCode>0.000</c:formatCode>
                <c:ptCount val="11"/>
                <c:pt idx="0">
                  <c:v>1.3682763757847844</c:v>
                </c:pt>
                <c:pt idx="1">
                  <c:v>1.3682763743201902</c:v>
                </c:pt>
                <c:pt idx="2">
                  <c:v>1.368276293722716</c:v>
                </c:pt>
                <c:pt idx="3">
                  <c:v>1.3682762324233317</c:v>
                </c:pt>
                <c:pt idx="4">
                  <c:v>1.3682761902179474</c:v>
                </c:pt>
                <c:pt idx="5">
                  <c:v>1.3682761657771061</c:v>
                </c:pt>
                <c:pt idx="6">
                  <c:v>1.368276156442793</c:v>
                </c:pt>
                <c:pt idx="7">
                  <c:v>1.3682761581877851</c:v>
                </c:pt>
                <c:pt idx="8">
                  <c:v>1.3682761659029845</c:v>
                </c:pt>
                <c:pt idx="9">
                  <c:v>1.3682761742131899</c:v>
                </c:pt>
                <c:pt idx="10">
                  <c:v>1.3682761789410935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919-45E3-8D41-446F775A3488}"/>
            </c:ext>
          </c:extLst>
        </c:ser>
        <c:dLbls/>
        <c:axId val="56478336"/>
        <c:axId val="57787136"/>
      </c:scatterChart>
      <c:valAx>
        <c:axId val="56478336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6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6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567300254418793"/>
              <c:y val="0.86053827284660178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7787136"/>
        <c:crosses val="autoZero"/>
        <c:crossBetween val="midCat"/>
        <c:majorUnit val="1.0000000000000004E-2"/>
      </c:valAx>
      <c:valAx>
        <c:axId val="5778713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6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G, </a:t>
                </a:r>
                <a:r>
                  <a:rPr lang="ru-RU" sz="16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кг</a:t>
                </a:r>
                <a:r>
                  <a:rPr lang="en-US" sz="16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/c</a:t>
                </a:r>
                <a:endParaRPr lang="ru-RU" sz="160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4.0350910139639706E-2"/>
              <c:y val="1.7177492640027558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478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0.10787161793407456"/>
          <c:y val="2.8419523484394384E-2"/>
          <c:w val="0.85657551468331017"/>
          <c:h val="0.82494504103829813"/>
        </c:manualLayout>
      </c:layout>
      <c:scatterChart>
        <c:scatterStyle val="smoothMarker"/>
        <c:ser>
          <c:idx val="0"/>
          <c:order val="0"/>
          <c:tx>
            <c:v>p</c:v>
          </c:tx>
          <c:spPr>
            <a:ln w="38100" cap="rnd">
              <a:solidFill>
                <a:srgbClr val="FC74B2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'ro=const'!$G$6:$Q$6</c:f>
              <c:numCache>
                <c:formatCode>0</c:formatCode>
                <c:ptCount val="11"/>
                <c:pt idx="0">
                  <c:v>133045.93224252338</c:v>
                </c:pt>
                <c:pt idx="1">
                  <c:v>132578.11115493046</c:v>
                </c:pt>
                <c:pt idx="2">
                  <c:v>131967.59970287842</c:v>
                </c:pt>
                <c:pt idx="3">
                  <c:v>131158.84524284292</c:v>
                </c:pt>
                <c:pt idx="4">
                  <c:v>130069.34949811635</c:v>
                </c:pt>
                <c:pt idx="5">
                  <c:v>128573.64397432865</c:v>
                </c:pt>
                <c:pt idx="6">
                  <c:v>126475.70537497028</c:v>
                </c:pt>
                <c:pt idx="7">
                  <c:v>123459.75809921337</c:v>
                </c:pt>
                <c:pt idx="8">
                  <c:v>118998.90628090221</c:v>
                </c:pt>
                <c:pt idx="9">
                  <c:v>112177.34027983494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D5E-4999-A45C-592C4D459E00}"/>
            </c:ext>
          </c:extLst>
        </c:ser>
        <c:ser>
          <c:idx val="1"/>
          <c:order val="1"/>
          <c:tx>
            <c:v>p_3D</c:v>
          </c:tx>
          <c:spPr>
            <a:ln w="38100" cap="rnd">
              <a:solidFill>
                <a:srgbClr val="54F747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'ro=const'!$O$28:$S$28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'ro=const'!$O$30:$S$30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D5E-4999-A45C-592C4D459E00}"/>
            </c:ext>
          </c:extLst>
        </c:ser>
        <c:dLbls/>
        <c:axId val="57727616"/>
        <c:axId val="57811712"/>
      </c:scatterChart>
      <c:valAx>
        <c:axId val="57727616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8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8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378005070810993"/>
              <c:y val="0.86836493205246057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7811712"/>
        <c:crosses val="autoZero"/>
        <c:crossBetween val="midCat"/>
        <c:majorUnit val="1.0000000000000004E-2"/>
      </c:valAx>
      <c:valAx>
        <c:axId val="57811712"/>
        <c:scaling>
          <c:orientation val="minMax"/>
          <c:max val="140000"/>
          <c:min val="1000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8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P, </a:t>
                </a:r>
                <a:r>
                  <a:rPr lang="ru-RU" sz="18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Па</a:t>
                </a:r>
              </a:p>
            </c:rich>
          </c:tx>
          <c:layout>
            <c:manualLayout>
              <c:xMode val="edge"/>
              <c:yMode val="edge"/>
              <c:x val="2.022549720907342E-2"/>
              <c:y val="1.3223342156573744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7727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ayout>
        <c:manualLayout>
          <c:xMode val="edge"/>
          <c:yMode val="edge"/>
          <c:x val="0.37504062579241859"/>
          <c:y val="0.93206306962377838"/>
          <c:w val="0.25133170819037115"/>
          <c:h val="5.6388159933799177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8.1165256270118849E-2"/>
          <c:y val="4.7590781924045866E-2"/>
          <c:w val="0.88936386819910107"/>
          <c:h val="0.78214606626129024"/>
        </c:manualLayout>
      </c:layout>
      <c:scatterChart>
        <c:scatterStyle val="smoothMarker"/>
        <c:ser>
          <c:idx val="0"/>
          <c:order val="0"/>
          <c:tx>
            <c:v>U</c:v>
          </c:tx>
          <c:spPr>
            <a:ln w="38100" cap="rnd">
              <a:solidFill>
                <a:srgbClr val="FC74B2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57.428256581311665</c:v>
                </c:pt>
                <c:pt idx="1">
                  <c:v>63.632417196141802</c:v>
                </c:pt>
                <c:pt idx="2">
                  <c:v>70.899077924595915</c:v>
                </c:pt>
                <c:pt idx="3">
                  <c:v>79.485467863069104</c:v>
                </c:pt>
                <c:pt idx="4">
                  <c:v>89.731638668343152</c:v>
                </c:pt>
                <c:pt idx="5">
                  <c:v>102.0946626014475</c:v>
                </c:pt>
                <c:pt idx="6">
                  <c:v>117.20050472683978</c:v>
                </c:pt>
                <c:pt idx="7">
                  <c:v>135.92484588597847</c:v>
                </c:pt>
                <c:pt idx="8">
                  <c:v>159.52291030601074</c:v>
                </c:pt>
                <c:pt idx="9">
                  <c:v>189.84544813076286</c:v>
                </c:pt>
                <c:pt idx="10">
                  <c:v>229.71299303452199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491-4D9A-9413-03D5109C3A24}"/>
            </c:ext>
          </c:extLst>
        </c:ser>
        <c:ser>
          <c:idx val="1"/>
          <c:order val="1"/>
          <c:tx>
            <c:v>U_3D</c:v>
          </c:tx>
          <c:spPr>
            <a:ln w="38100" cap="rnd">
              <a:solidFill>
                <a:srgbClr val="54F747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'ro=const'!$O$28:$S$28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'ro=const'!$O$29:$S$29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3491-4D9A-9413-03D5109C3A24}"/>
            </c:ext>
          </c:extLst>
        </c:ser>
        <c:dLbls/>
        <c:axId val="57858688"/>
        <c:axId val="58393344"/>
      </c:scatterChart>
      <c:valAx>
        <c:axId val="57858688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8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8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3802066773402759"/>
              <c:y val="0.85170510269846167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8393344"/>
        <c:crosses val="autoZero"/>
        <c:crossBetween val="midCat"/>
        <c:majorUnit val="1.0000000000000004E-2"/>
      </c:valAx>
      <c:valAx>
        <c:axId val="58393344"/>
        <c:scaling>
          <c:orientation val="minMax"/>
          <c:max val="200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6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6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6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6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1.8453132378477937E-2"/>
              <c:y val="2.2830162243954382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7858688"/>
        <c:crosses val="autoZero"/>
        <c:crossBetween val="midCat"/>
      </c:valAx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ayout>
        <c:manualLayout>
          <c:xMode val="edge"/>
          <c:yMode val="edge"/>
          <c:x val="0.34882327681086073"/>
          <c:y val="0.90055706559811699"/>
          <c:w val="0.40092685441434051"/>
          <c:h val="8.9804503974369745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0.10114992998529339"/>
          <c:y val="2.8950903195924037E-2"/>
          <c:w val="0.86179026549295279"/>
          <c:h val="0.82397267253358031"/>
        </c:manualLayout>
      </c:layout>
      <c:scatterChart>
        <c:scatterStyle val="smoothMarker"/>
        <c:ser>
          <c:idx val="0"/>
          <c:order val="0"/>
          <c:tx>
            <c:v>U, ro=const</c:v>
          </c:tx>
          <c:spPr>
            <a:ln w="38100" cap="rnd">
              <a:solidFill>
                <a:srgbClr val="FC74B2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'ro=const'!$G$2:$P$2</c:f>
              <c:numCache>
                <c:formatCode>0.00</c:formatCode>
                <c:ptCount val="1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57.428256581311665</c:v>
                </c:pt>
                <c:pt idx="1">
                  <c:v>63.632417196141802</c:v>
                </c:pt>
                <c:pt idx="2">
                  <c:v>70.899077924595915</c:v>
                </c:pt>
                <c:pt idx="3">
                  <c:v>79.485467863069104</c:v>
                </c:pt>
                <c:pt idx="4">
                  <c:v>89.731638668343152</c:v>
                </c:pt>
                <c:pt idx="5">
                  <c:v>102.0946626014475</c:v>
                </c:pt>
                <c:pt idx="6">
                  <c:v>117.20050472683978</c:v>
                </c:pt>
                <c:pt idx="7">
                  <c:v>135.92484588597847</c:v>
                </c:pt>
                <c:pt idx="8">
                  <c:v>159.52291030601074</c:v>
                </c:pt>
                <c:pt idx="9">
                  <c:v>189.84544813076286</c:v>
                </c:pt>
                <c:pt idx="10">
                  <c:v>229.71299303452199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218-4F06-B954-62E18A8D1214}"/>
            </c:ext>
          </c:extLst>
        </c:ser>
        <c:ser>
          <c:idx val="1"/>
          <c:order val="1"/>
          <c:tx>
            <c:v>U_3D</c:v>
          </c:tx>
          <c:spPr>
            <a:ln w="38100" cap="rnd">
              <a:solidFill>
                <a:srgbClr val="54F747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'ro=const'!$O$28:$S$28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'ro=const'!$O$29:$S$29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218-4F06-B954-62E18A8D1214}"/>
            </c:ext>
          </c:extLst>
        </c:ser>
        <c:ser>
          <c:idx val="2"/>
          <c:order val="2"/>
          <c:tx>
            <c:v>U, ro=var</c:v>
          </c:tx>
          <c:spPr>
            <a:ln w="38100">
              <a:solidFill>
                <a:srgbClr val="23FDF8"/>
              </a:solidFill>
              <a:prstDash val="lgDashDot"/>
            </a:ln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218-4F06-B954-62E18A8D1214}"/>
            </c:ext>
          </c:extLst>
        </c:ser>
        <c:dLbls/>
        <c:axId val="58462592"/>
        <c:axId val="58464512"/>
      </c:scatterChart>
      <c:valAx>
        <c:axId val="58462592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8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8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2376335703677614"/>
              <c:y val="0.86955457773660649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8464512"/>
        <c:crosses val="autoZero"/>
        <c:crossBetween val="midCat"/>
        <c:majorUnit val="1.0000000000000004E-2"/>
      </c:valAx>
      <c:valAx>
        <c:axId val="58464512"/>
        <c:scaling>
          <c:orientation val="minMax"/>
          <c:max val="200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6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6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6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6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1.8402422730176629E-2"/>
              <c:y val="1.3602439400957234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8462592"/>
        <c:crosses val="autoZero"/>
        <c:crossBetween val="midCat"/>
      </c:valAx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ayout>
        <c:manualLayout>
          <c:xMode val="edge"/>
          <c:yMode val="edge"/>
          <c:x val="0.25783552525103265"/>
          <c:y val="0.91510653080129689"/>
          <c:w val="0.53258632215209023"/>
          <c:h val="7.3128763316350168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E2-4F46-82D1-881218EE0E3E}"/>
            </c:ext>
          </c:extLst>
        </c:ser>
        <c:dLbls/>
        <c:axId val="58813824"/>
        <c:axId val="58844672"/>
      </c:scatterChart>
      <c:valAx>
        <c:axId val="58813824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414538746647988"/>
              <c:y val="0.85364705882352965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8844672"/>
        <c:crosses val="autoZero"/>
        <c:crossBetween val="midCat"/>
        <c:majorUnit val="1.0000000000000004E-2"/>
      </c:valAx>
      <c:valAx>
        <c:axId val="5884467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9.8336948662328283E-2"/>
              <c:y val="1.1375142813030745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8813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'ro=var'!$G$9:$Q$9</c:f>
              <c:numCache>
                <c:formatCode>0.000</c:formatCode>
                <c:ptCount val="11"/>
                <c:pt idx="0">
                  <c:v>1.3660305191040134</c:v>
                </c:pt>
                <c:pt idx="1">
                  <c:v>1.3660276794910102</c:v>
                </c:pt>
                <c:pt idx="2">
                  <c:v>1.3658771086896666</c:v>
                </c:pt>
                <c:pt idx="3">
                  <c:v>1.3659242672573835</c:v>
                </c:pt>
                <c:pt idx="4">
                  <c:v>1.3661394697588616</c:v>
                </c:pt>
                <c:pt idx="5">
                  <c:v>1.366482223242276</c:v>
                </c:pt>
                <c:pt idx="6">
                  <c:v>1.3669009817615767</c:v>
                </c:pt>
                <c:pt idx="7">
                  <c:v>1.3673348461226706</c:v>
                </c:pt>
                <c:pt idx="8">
                  <c:v>1.3677186458786699</c:v>
                </c:pt>
                <c:pt idx="9">
                  <c:v>1.3679932839141384</c:v>
                </c:pt>
                <c:pt idx="10">
                  <c:v>1.368123315349423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7B9-41E1-B137-27AF07D8789B}"/>
            </c:ext>
          </c:extLst>
        </c:ser>
        <c:dLbls/>
        <c:axId val="60127104"/>
        <c:axId val="60153856"/>
      </c:scatterChart>
      <c:valAx>
        <c:axId val="60127104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89973611068302994"/>
              <c:y val="0.85364705882352965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60153856"/>
        <c:crosses val="autoZero"/>
        <c:crossBetween val="midCat"/>
        <c:majorUnit val="1.0000000000000004E-2"/>
      </c:valAx>
      <c:valAx>
        <c:axId val="6015385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11225041110891527"/>
              <c:y val="1.4512397714991509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60127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tx>
            <c:v>p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'ro=var'!$G$6:$Q$6</c:f>
              <c:numCache>
                <c:formatCode>0</c:formatCode>
                <c:ptCount val="11"/>
                <c:pt idx="0">
                  <c:v>133575.51445170629</c:v>
                </c:pt>
                <c:pt idx="1">
                  <c:v>133227.85858173415</c:v>
                </c:pt>
                <c:pt idx="2">
                  <c:v>132771.60956635035</c:v>
                </c:pt>
                <c:pt idx="3">
                  <c:v>132160.88642409007</c:v>
                </c:pt>
                <c:pt idx="4">
                  <c:v>131326.83841130373</c:v>
                </c:pt>
                <c:pt idx="5">
                  <c:v>130160.38230722559</c:v>
                </c:pt>
                <c:pt idx="6">
                  <c:v>128480.77690377602</c:v>
                </c:pt>
                <c:pt idx="7">
                  <c:v>125969.8958123503</c:v>
                </c:pt>
                <c:pt idx="8">
                  <c:v>122015.72675961358</c:v>
                </c:pt>
                <c:pt idx="9">
                  <c:v>115248.62599135554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00F-4507-AA59-18B11041331B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'ro=const'!$O$28:$S$28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'ro=const'!$O$30:$S$30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00F-4507-AA59-18B11041331B}"/>
            </c:ext>
          </c:extLst>
        </c:ser>
        <c:dLbls/>
        <c:axId val="60446208"/>
        <c:axId val="60448128"/>
      </c:scatterChart>
      <c:valAx>
        <c:axId val="60446208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705928570208549"/>
              <c:y val="0.77590877962328519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60448128"/>
        <c:crosses val="autoZero"/>
        <c:crossBetween val="midCat"/>
        <c:majorUnit val="1.0000000000000004E-2"/>
      </c:valAx>
      <c:valAx>
        <c:axId val="60448128"/>
        <c:scaling>
          <c:orientation val="minMax"/>
          <c:max val="140000"/>
          <c:min val="1000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0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П</a:t>
                </a:r>
                <a:r>
                  <a:rPr lang="ru-RU" sz="1200">
                    <a:solidFill>
                      <a:schemeClr val="tx1"/>
                    </a:solidFill>
                  </a:rPr>
                  <a:t>а</a:t>
                </a:r>
              </a:p>
            </c:rich>
          </c:tx>
          <c:layout>
            <c:manualLayout>
              <c:xMode val="edge"/>
              <c:yMode val="edge"/>
              <c:x val="0.12147505422993493"/>
              <c:y val="1.9667858045060556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60446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tx>
            <c:v>U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5A8-43AE-913D-3F899EDF383D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'ro=const'!$O$28:$S$28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'ro=const'!$O$29:$S$29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5A8-43AE-913D-3F899EDF383D}"/>
            </c:ext>
          </c:extLst>
        </c:ser>
        <c:dLbls/>
        <c:axId val="60503552"/>
        <c:axId val="60505472"/>
      </c:scatterChart>
      <c:valAx>
        <c:axId val="60503552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815477820062118"/>
              <c:y val="0.77904182192083626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60505472"/>
        <c:crosses val="autoZero"/>
        <c:crossBetween val="midCat"/>
        <c:majorUnit val="1.0000000000000004E-2"/>
      </c:valAx>
      <c:valAx>
        <c:axId val="60505472"/>
        <c:scaling>
          <c:orientation val="minMax"/>
          <c:max val="200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9.2102901422699737E-2"/>
              <c:y val="1.9049143865355153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60503552"/>
        <c:crosses val="autoZero"/>
        <c:crossBetween val="midCat"/>
      </c:valAx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tx>
            <c:v>U, ro=const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57.428256581311665</c:v>
                </c:pt>
                <c:pt idx="1">
                  <c:v>63.632417196141802</c:v>
                </c:pt>
                <c:pt idx="2">
                  <c:v>70.899077924595915</c:v>
                </c:pt>
                <c:pt idx="3">
                  <c:v>79.485467863069104</c:v>
                </c:pt>
                <c:pt idx="4">
                  <c:v>89.731638668343152</c:v>
                </c:pt>
                <c:pt idx="5">
                  <c:v>102.0946626014475</c:v>
                </c:pt>
                <c:pt idx="6">
                  <c:v>117.20050472683978</c:v>
                </c:pt>
                <c:pt idx="7">
                  <c:v>135.92484588597847</c:v>
                </c:pt>
                <c:pt idx="8">
                  <c:v>159.52291030601074</c:v>
                </c:pt>
                <c:pt idx="9">
                  <c:v>189.84544813076286</c:v>
                </c:pt>
                <c:pt idx="10">
                  <c:v>229.71299303452199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5C1-4131-898F-874A5AA66C39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4"/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dash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5C1-4131-898F-874A5AA66C39}"/>
              </c:ext>
            </c:extLst>
          </c:dPt>
          <c:xVal>
            <c:numRef>
              <c:f>'ro=const'!$O$28:$S$28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'ro=const'!$O$29:$S$29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5C1-4131-898F-874A5AA66C39}"/>
            </c:ext>
          </c:extLst>
        </c:ser>
        <c:ser>
          <c:idx val="2"/>
          <c:order val="2"/>
          <c:tx>
            <c:v>U, ro=var</c:v>
          </c:tx>
          <c:spPr>
            <a:ln>
              <a:solidFill>
                <a:schemeClr val="accent3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5C1-4131-898F-874A5AA66C39}"/>
            </c:ext>
          </c:extLst>
        </c:ser>
        <c:dLbls/>
        <c:axId val="61493248"/>
        <c:axId val="61495168"/>
      </c:scatterChart>
      <c:valAx>
        <c:axId val="61493248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410116792647511"/>
              <c:y val="0.82821227808249298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61495168"/>
        <c:crosses val="autoZero"/>
        <c:crossBetween val="midCat"/>
        <c:majorUnit val="1.0000000000000004E-2"/>
      </c:valAx>
      <c:valAx>
        <c:axId val="61495168"/>
        <c:scaling>
          <c:orientation val="minMax"/>
          <c:max val="200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7.3935708700355984E-2"/>
              <c:y val="1.2509050629547422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61493248"/>
        <c:crosses val="autoZero"/>
        <c:crossBetween val="midCat"/>
      </c:valAx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108857</xdr:colOff>
      <xdr:row>0</xdr:row>
      <xdr:rowOff>54429</xdr:rowOff>
    </xdr:from>
    <xdr:to>
      <xdr:col>37</xdr:col>
      <xdr:colOff>95250</xdr:colOff>
      <xdr:row>26</xdr:row>
      <xdr:rowOff>72119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367392</xdr:colOff>
      <xdr:row>0</xdr:row>
      <xdr:rowOff>0</xdr:rowOff>
    </xdr:from>
    <xdr:to>
      <xdr:col>26</xdr:col>
      <xdr:colOff>447674</xdr:colOff>
      <xdr:row>26</xdr:row>
      <xdr:rowOff>97970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367392</xdr:colOff>
      <xdr:row>29</xdr:row>
      <xdr:rowOff>27215</xdr:rowOff>
    </xdr:from>
    <xdr:to>
      <xdr:col>42</xdr:col>
      <xdr:colOff>170088</xdr:colOff>
      <xdr:row>63</xdr:row>
      <xdr:rowOff>148320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</xdr:colOff>
      <xdr:row>32</xdr:row>
      <xdr:rowOff>144235</xdr:rowOff>
    </xdr:from>
    <xdr:to>
      <xdr:col>26</xdr:col>
      <xdr:colOff>544286</xdr:colOff>
      <xdr:row>60</xdr:row>
      <xdr:rowOff>163285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106135</xdr:colOff>
      <xdr:row>23</xdr:row>
      <xdr:rowOff>163285</xdr:rowOff>
    </xdr:from>
    <xdr:to>
      <xdr:col>12</xdr:col>
      <xdr:colOff>326572</xdr:colOff>
      <xdr:row>57</xdr:row>
      <xdr:rowOff>163285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107156</xdr:colOff>
      <xdr:row>19</xdr:row>
      <xdr:rowOff>33337</xdr:rowOff>
    </xdr:from>
    <xdr:to>
      <xdr:col>7</xdr:col>
      <xdr:colOff>116681</xdr:colOff>
      <xdr:row>40</xdr:row>
      <xdr:rowOff>80962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178594</xdr:colOff>
      <xdr:row>19</xdr:row>
      <xdr:rowOff>16668</xdr:rowOff>
    </xdr:from>
    <xdr:to>
      <xdr:col>14</xdr:col>
      <xdr:colOff>340519</xdr:colOff>
      <xdr:row>40</xdr:row>
      <xdr:rowOff>64293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95250</xdr:colOff>
      <xdr:row>41</xdr:row>
      <xdr:rowOff>28575</xdr:rowOff>
    </xdr:from>
    <xdr:to>
      <xdr:col>7</xdr:col>
      <xdr:colOff>104775</xdr:colOff>
      <xdr:row>62</xdr:row>
      <xdr:rowOff>81643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226219</xdr:colOff>
      <xdr:row>41</xdr:row>
      <xdr:rowOff>40481</xdr:rowOff>
    </xdr:from>
    <xdr:to>
      <xdr:col>14</xdr:col>
      <xdr:colOff>388144</xdr:colOff>
      <xdr:row>62</xdr:row>
      <xdr:rowOff>93549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535782</xdr:colOff>
      <xdr:row>24</xdr:row>
      <xdr:rowOff>71437</xdr:rowOff>
    </xdr:from>
    <xdr:to>
      <xdr:col>24</xdr:col>
      <xdr:colOff>64974</xdr:colOff>
      <xdr:row>49</xdr:row>
      <xdr:rowOff>144236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1:V31"/>
  <sheetViews>
    <sheetView tabSelected="1" topLeftCell="C1" zoomScale="70" zoomScaleNormal="70" workbookViewId="0">
      <selection activeCell="E19" sqref="E19"/>
    </sheetView>
  </sheetViews>
  <sheetFormatPr defaultRowHeight="15"/>
  <cols>
    <col min="7" max="7" width="11.140625" bestFit="1" customWidth="1"/>
  </cols>
  <sheetData>
    <row r="1" spans="2:17">
      <c r="B1" s="2"/>
      <c r="C1" s="2"/>
      <c r="D1" s="2"/>
      <c r="E1" s="2"/>
      <c r="F1" s="23" t="s">
        <v>8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>
      <c r="B2" s="2"/>
      <c r="C2" s="2"/>
      <c r="D2" s="2"/>
      <c r="E2" s="2"/>
      <c r="F2" s="23" t="s">
        <v>9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>
      <c r="B3" s="25" t="s">
        <v>0</v>
      </c>
      <c r="C3" s="25">
        <v>0.1</v>
      </c>
      <c r="D3" s="2"/>
      <c r="E3" s="2"/>
      <c r="F3" s="23" t="s">
        <v>3</v>
      </c>
      <c r="G3" s="6">
        <v>0.08</v>
      </c>
      <c r="H3" s="7">
        <f>G3+($Q$3-$G$3)/10</f>
        <v>7.5999999999999998E-2</v>
      </c>
      <c r="I3" s="7">
        <f t="shared" ref="I3:P3" si="1">H3+($Q$3-$G$3)/10</f>
        <v>7.1999999999999995E-2</v>
      </c>
      <c r="J3" s="7">
        <f t="shared" si="1"/>
        <v>6.7999999999999991E-2</v>
      </c>
      <c r="K3" s="7">
        <f t="shared" si="1"/>
        <v>6.3999999999999987E-2</v>
      </c>
      <c r="L3" s="7">
        <f t="shared" si="1"/>
        <v>5.9999999999999984E-2</v>
      </c>
      <c r="M3" s="7">
        <f t="shared" si="1"/>
        <v>5.599999999999998E-2</v>
      </c>
      <c r="N3" s="7">
        <f t="shared" si="1"/>
        <v>5.1999999999999977E-2</v>
      </c>
      <c r="O3" s="7">
        <f t="shared" si="1"/>
        <v>4.7999999999999973E-2</v>
      </c>
      <c r="P3" s="7">
        <f t="shared" si="1"/>
        <v>4.399999999999997E-2</v>
      </c>
      <c r="Q3" s="6">
        <v>0.04</v>
      </c>
    </row>
    <row r="4" spans="2:17">
      <c r="B4" s="25" t="s">
        <v>1</v>
      </c>
      <c r="C4" s="25">
        <f>C3/10</f>
        <v>0.01</v>
      </c>
      <c r="D4" s="2"/>
      <c r="E4" s="2"/>
      <c r="F4" s="23" t="s">
        <v>10</v>
      </c>
      <c r="G4" s="8">
        <f>(PI()*(2*G3)^2)/4</f>
        <v>2.0106192982974676E-2</v>
      </c>
      <c r="H4" s="8">
        <f t="shared" ref="H4:Q4" si="2">(PI()*(2*H3)^2)/4</f>
        <v>1.8145839167134643E-2</v>
      </c>
      <c r="I4" s="8">
        <f t="shared" si="2"/>
        <v>1.6286016316209486E-2</v>
      </c>
      <c r="J4" s="8">
        <f t="shared" si="2"/>
        <v>1.4526724430199199E-2</v>
      </c>
      <c r="K4" s="8">
        <f t="shared" si="2"/>
        <v>1.2867963509103787E-2</v>
      </c>
      <c r="L4" s="8">
        <f t="shared" si="2"/>
        <v>1.1309733552923249E-2</v>
      </c>
      <c r="M4" s="8">
        <f t="shared" si="2"/>
        <v>9.8520345616575841E-3</v>
      </c>
      <c r="N4" s="8">
        <f t="shared" si="2"/>
        <v>8.4948665353067939E-3</v>
      </c>
      <c r="O4" s="8">
        <f t="shared" si="2"/>
        <v>7.2382294738708754E-3</v>
      </c>
      <c r="P4" s="8">
        <f t="shared" si="2"/>
        <v>6.0821233773498311E-3</v>
      </c>
      <c r="Q4" s="8">
        <f t="shared" si="2"/>
        <v>5.0265482457436689E-3</v>
      </c>
    </row>
    <row r="5" spans="2:17">
      <c r="B5" s="2"/>
      <c r="C5" s="2"/>
      <c r="D5" s="2"/>
      <c r="E5" s="2"/>
      <c r="F5" s="23" t="s">
        <v>11</v>
      </c>
      <c r="G5" s="10">
        <v>57.428256581311665</v>
      </c>
      <c r="H5" s="10">
        <v>63.632417196141802</v>
      </c>
      <c r="I5" s="10">
        <v>70.899077924595915</v>
      </c>
      <c r="J5" s="10">
        <v>79.485467863069104</v>
      </c>
      <c r="K5" s="10">
        <v>89.731638668343152</v>
      </c>
      <c r="L5" s="10">
        <v>102.0946626014475</v>
      </c>
      <c r="M5" s="10">
        <v>117.20050472683978</v>
      </c>
      <c r="N5" s="10">
        <v>135.92484588597847</v>
      </c>
      <c r="O5" s="10">
        <v>159.52291030601074</v>
      </c>
      <c r="P5" s="10">
        <v>189.84544813076286</v>
      </c>
      <c r="Q5" s="10">
        <v>229.71299303452199</v>
      </c>
    </row>
    <row r="6" spans="2:17">
      <c r="B6" s="22" t="s">
        <v>2</v>
      </c>
      <c r="C6" s="22">
        <v>1.4</v>
      </c>
      <c r="D6" s="2"/>
      <c r="E6" s="2"/>
      <c r="F6" s="23" t="s">
        <v>12</v>
      </c>
      <c r="G6" s="10">
        <v>133045.93224252338</v>
      </c>
      <c r="H6" s="10">
        <v>132578.11115493046</v>
      </c>
      <c r="I6" s="10">
        <v>131967.59970287842</v>
      </c>
      <c r="J6" s="10">
        <v>131158.84524284292</v>
      </c>
      <c r="K6" s="10">
        <v>130069.34949811635</v>
      </c>
      <c r="L6" s="10">
        <v>128573.64397432865</v>
      </c>
      <c r="M6" s="10">
        <v>126475.70537497028</v>
      </c>
      <c r="N6" s="10">
        <v>123459.75809921337</v>
      </c>
      <c r="O6" s="10">
        <v>118998.90628090221</v>
      </c>
      <c r="P6" s="10">
        <v>112177.34027983494</v>
      </c>
      <c r="Q6" s="10">
        <v>101325</v>
      </c>
    </row>
    <row r="7" spans="2:17">
      <c r="B7" s="22" t="s">
        <v>3</v>
      </c>
      <c r="C7" s="22">
        <v>286.97199999999998</v>
      </c>
      <c r="D7" s="2"/>
      <c r="E7" s="2"/>
      <c r="F7" s="23" t="s">
        <v>13</v>
      </c>
      <c r="G7" s="12">
        <v>1.1850000000000001</v>
      </c>
      <c r="H7" s="12">
        <v>1.1850000000000001</v>
      </c>
      <c r="I7" s="12">
        <v>1.1850000000000001</v>
      </c>
      <c r="J7" s="12">
        <v>1.1850000000000001</v>
      </c>
      <c r="K7" s="12">
        <v>1.1850000000000001</v>
      </c>
      <c r="L7" s="12">
        <v>1.1850000000000001</v>
      </c>
      <c r="M7" s="12">
        <v>1.1850000000000001</v>
      </c>
      <c r="N7" s="12">
        <v>1.1850000000000001</v>
      </c>
      <c r="O7" s="12">
        <v>1.1850000000000001</v>
      </c>
      <c r="P7" s="12">
        <v>1.1850000000000001</v>
      </c>
      <c r="Q7" s="12">
        <v>1.1850000000000001</v>
      </c>
    </row>
    <row r="8" spans="2:17">
      <c r="B8" s="22" t="s">
        <v>4</v>
      </c>
      <c r="C8" s="22">
        <f>C7*(C6/(C6-1))</f>
        <v>1004.402</v>
      </c>
      <c r="D8" s="2"/>
      <c r="E8" s="2"/>
      <c r="F8" s="13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</row>
    <row r="9" spans="2:17">
      <c r="B9" s="2"/>
      <c r="C9" s="2"/>
      <c r="D9" s="2"/>
      <c r="E9" s="2"/>
      <c r="F9" s="23" t="s">
        <v>14</v>
      </c>
      <c r="G9" s="7">
        <f>G4*G7*G12</f>
        <v>1.3682763757847844</v>
      </c>
      <c r="H9" s="7">
        <f>H4*H7*H12</f>
        <v>1.3682763743201902</v>
      </c>
      <c r="I9" s="7">
        <f t="shared" ref="I9:Q9" si="3">I4*I7*I12</f>
        <v>1.368276293722716</v>
      </c>
      <c r="J9" s="7">
        <f t="shared" si="3"/>
        <v>1.3682762324233317</v>
      </c>
      <c r="K9" s="7">
        <f t="shared" si="3"/>
        <v>1.3682761902179474</v>
      </c>
      <c r="L9" s="7">
        <f t="shared" si="3"/>
        <v>1.3682761657771061</v>
      </c>
      <c r="M9" s="7">
        <f t="shared" si="3"/>
        <v>1.368276156442793</v>
      </c>
      <c r="N9" s="7">
        <f t="shared" si="3"/>
        <v>1.3682761581877851</v>
      </c>
      <c r="O9" s="7">
        <f t="shared" si="3"/>
        <v>1.3682761659029845</v>
      </c>
      <c r="P9" s="7">
        <f t="shared" si="3"/>
        <v>1.3682761742131899</v>
      </c>
      <c r="Q9" s="7">
        <f t="shared" si="3"/>
        <v>1.3682761789410935</v>
      </c>
    </row>
    <row r="10" spans="2:17">
      <c r="B10" s="15" t="s">
        <v>5</v>
      </c>
      <c r="C10" s="15">
        <v>135000</v>
      </c>
      <c r="D10" s="2"/>
      <c r="E10" s="2"/>
      <c r="F10" s="23" t="s">
        <v>15</v>
      </c>
      <c r="G10" s="16">
        <f>(G12)*(G9-H9)</f>
        <v>8.4109092774317887E-8</v>
      </c>
      <c r="H10" s="16">
        <f>(H12)*(H9-I9)</f>
        <v>5.12861210095151E-6</v>
      </c>
      <c r="I10" s="16">
        <f t="shared" ref="I10:P10" si="4">(I12)*(I9-J9)</f>
        <v>4.3460698163226403E-6</v>
      </c>
      <c r="J10" s="16">
        <f t="shared" si="4"/>
        <v>3.3547147156401362E-6</v>
      </c>
      <c r="K10" s="16">
        <f t="shared" si="4"/>
        <v>2.1931167442011614E-6</v>
      </c>
      <c r="L10" s="16">
        <f t="shared" si="4"/>
        <v>9.5298354645120042E-7</v>
      </c>
      <c r="M10" s="16">
        <f t="shared" si="4"/>
        <v>-2.0451396080576512E-7</v>
      </c>
      <c r="N10" s="16">
        <f t="shared" si="4"/>
        <v>-1.048687285108536E-6</v>
      </c>
      <c r="O10" s="16">
        <f t="shared" si="4"/>
        <v>-1.3256681526825719E-6</v>
      </c>
      <c r="P10" s="16">
        <f t="shared" si="4"/>
        <v>-8.9757098224339754E-7</v>
      </c>
      <c r="Q10" s="17">
        <v>0</v>
      </c>
    </row>
    <row r="11" spans="2:17">
      <c r="B11" s="15" t="s">
        <v>6</v>
      </c>
      <c r="C11" s="15">
        <v>288.16000000000003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2:17">
      <c r="B12" s="15" t="s">
        <v>12</v>
      </c>
      <c r="C12" s="15">
        <v>101325</v>
      </c>
      <c r="D12" s="2"/>
      <c r="E12" s="2"/>
      <c r="F12" s="23" t="s">
        <v>11</v>
      </c>
      <c r="G12" s="18">
        <f>(H4*H5*H7)/(G4*G7)</f>
        <v>57.42825651951798</v>
      </c>
      <c r="H12" s="5">
        <f>((G6-H6)/H7+G5*H5)^0.5</f>
        <v>63.632417128030085</v>
      </c>
      <c r="I12" s="5">
        <f t="shared" ref="I12:Q12" si="5">((H6-I6)/I7+H5*I5)^0.5</f>
        <v>70.89907787070517</v>
      </c>
      <c r="J12" s="5">
        <f t="shared" si="5"/>
        <v>79.485467823474082</v>
      </c>
      <c r="K12" s="5">
        <f t="shared" si="5"/>
        <v>89.731638642262027</v>
      </c>
      <c r="L12" s="5">
        <f t="shared" si="5"/>
        <v>102.09466258708494</v>
      </c>
      <c r="M12" s="5">
        <f t="shared" si="5"/>
        <v>117.20050472135223</v>
      </c>
      <c r="N12" s="5">
        <f t="shared" si="5"/>
        <v>135.92484588568541</v>
      </c>
      <c r="O12" s="5">
        <f t="shared" si="5"/>
        <v>159.52291030699607</v>
      </c>
      <c r="P12" s="5">
        <f t="shared" si="5"/>
        <v>189.84544812994454</v>
      </c>
      <c r="Q12" s="5">
        <f t="shared" si="5"/>
        <v>229.71299303097655</v>
      </c>
    </row>
    <row r="13" spans="2:17">
      <c r="B13" s="2"/>
      <c r="C13" s="2"/>
      <c r="D13" s="2"/>
      <c r="E13" s="2"/>
      <c r="F13" s="23" t="s">
        <v>12</v>
      </c>
      <c r="G13" s="19">
        <f>C10-(G7*G12^2)/2</f>
        <v>133045.9322467286</v>
      </c>
      <c r="H13" s="4">
        <f>H6+H10</f>
        <v>132578.11116005908</v>
      </c>
      <c r="I13" s="4">
        <f t="shared" ref="I13:P13" si="6">I6+I10</f>
        <v>131967.59970722449</v>
      </c>
      <c r="J13" s="4">
        <f t="shared" si="6"/>
        <v>131158.84524619763</v>
      </c>
      <c r="K13" s="4">
        <f t="shared" si="6"/>
        <v>130069.34950030947</v>
      </c>
      <c r="L13" s="4">
        <f t="shared" si="6"/>
        <v>128573.64397528164</v>
      </c>
      <c r="M13" s="4">
        <f t="shared" si="6"/>
        <v>126475.70537476576</v>
      </c>
      <c r="N13" s="4">
        <f t="shared" si="6"/>
        <v>123459.75809816469</v>
      </c>
      <c r="O13" s="4">
        <f t="shared" si="6"/>
        <v>118998.90627957655</v>
      </c>
      <c r="P13" s="4">
        <f t="shared" si="6"/>
        <v>112177.34027893736</v>
      </c>
      <c r="Q13" s="19">
        <f>Q6+Q10</f>
        <v>101325</v>
      </c>
    </row>
    <row r="14" spans="2:17">
      <c r="B14" s="24" t="s">
        <v>7</v>
      </c>
      <c r="C14" s="24">
        <v>2100</v>
      </c>
      <c r="D14" s="2">
        <v>2100</v>
      </c>
      <c r="E14" s="2"/>
      <c r="F14" s="23" t="s">
        <v>13</v>
      </c>
      <c r="G14" s="7">
        <v>1.1850000000000001</v>
      </c>
      <c r="H14" s="7">
        <v>1.1850000000000001</v>
      </c>
      <c r="I14" s="7">
        <v>1.1850000000000001</v>
      </c>
      <c r="J14" s="7">
        <v>1.1850000000000001</v>
      </c>
      <c r="K14" s="7">
        <v>1.1850000000000001</v>
      </c>
      <c r="L14" s="7">
        <v>1.1850000000000001</v>
      </c>
      <c r="M14" s="7">
        <v>1.1850000000000001</v>
      </c>
      <c r="N14" s="7">
        <v>1.1850000000000001</v>
      </c>
      <c r="O14" s="7">
        <v>1.1850000000000001</v>
      </c>
      <c r="P14" s="7">
        <v>1.1850000000000001</v>
      </c>
      <c r="Q14" s="7">
        <v>1.1850000000000001</v>
      </c>
    </row>
    <row r="15" spans="2:17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>
      <c r="B16" s="2"/>
      <c r="C16" s="2"/>
      <c r="D16" s="2"/>
      <c r="E16" s="2"/>
      <c r="F16" s="23" t="s">
        <v>16</v>
      </c>
      <c r="G16" s="3">
        <f>$C$11-(G12^2)/(2*$C$8)</f>
        <v>286.51822477112177</v>
      </c>
      <c r="H16" s="3">
        <f t="shared" ref="H16:Q16" si="7">$C$11-(H12^2)/(2*$C$8)</f>
        <v>286.14433072138667</v>
      </c>
      <c r="I16" s="3">
        <f t="shared" si="7"/>
        <v>285.65767561050444</v>
      </c>
      <c r="J16" s="3">
        <f t="shared" si="7"/>
        <v>285.01487504250463</v>
      </c>
      <c r="K16" s="3">
        <f t="shared" si="7"/>
        <v>284.15176078232349</v>
      </c>
      <c r="L16" s="3">
        <f t="shared" si="7"/>
        <v>282.97118111634052</v>
      </c>
      <c r="M16" s="3">
        <f t="shared" si="7"/>
        <v>281.32212118905596</v>
      </c>
      <c r="N16" s="3">
        <f t="shared" si="7"/>
        <v>278.96270462969642</v>
      </c>
      <c r="O16" s="3">
        <f t="shared" si="7"/>
        <v>275.49198514498482</v>
      </c>
      <c r="P16" s="3">
        <f t="shared" si="7"/>
        <v>270.21833213411594</v>
      </c>
      <c r="Q16" s="3">
        <f t="shared" si="7"/>
        <v>261.891603896025</v>
      </c>
    </row>
    <row r="17" spans="2:22">
      <c r="B17" s="2"/>
      <c r="C17" s="2"/>
      <c r="D17" s="2"/>
      <c r="E17" s="2"/>
      <c r="F17" s="23" t="s">
        <v>17</v>
      </c>
      <c r="G17" s="3">
        <f>SQRT($C$6*$C$7*G16)</f>
        <v>339.28128624877866</v>
      </c>
      <c r="H17" s="3">
        <f t="shared" ref="H17:Q17" si="8">SQRT($C$6*$C$7*H16)</f>
        <v>339.05984018472145</v>
      </c>
      <c r="I17" s="3">
        <f t="shared" si="8"/>
        <v>338.77139235687645</v>
      </c>
      <c r="J17" s="3">
        <f t="shared" si="8"/>
        <v>338.39001789204224</v>
      </c>
      <c r="K17" s="3">
        <f t="shared" si="8"/>
        <v>337.87725394485329</v>
      </c>
      <c r="L17" s="3">
        <f t="shared" si="8"/>
        <v>337.17462553140894</v>
      </c>
      <c r="M17" s="3">
        <f t="shared" si="8"/>
        <v>336.19072037552144</v>
      </c>
      <c r="N17" s="3">
        <f t="shared" si="8"/>
        <v>334.7779553408356</v>
      </c>
      <c r="O17" s="3">
        <f t="shared" si="8"/>
        <v>332.68886417407663</v>
      </c>
      <c r="P17" s="3">
        <f t="shared" si="8"/>
        <v>329.48920057092636</v>
      </c>
      <c r="Q17" s="3">
        <f t="shared" si="8"/>
        <v>324.37290314474501</v>
      </c>
    </row>
    <row r="18" spans="2:22">
      <c r="B18" s="2"/>
      <c r="C18" s="2"/>
      <c r="D18" s="2"/>
      <c r="E18" s="2"/>
      <c r="F18" s="23" t="s">
        <v>18</v>
      </c>
      <c r="G18" s="3">
        <f>G12/G17</f>
        <v>0.16926443882144623</v>
      </c>
      <c r="H18" s="3">
        <f t="shared" ref="H18:Q18" si="9">H12/H17</f>
        <v>0.18767311720952512</v>
      </c>
      <c r="I18" s="3">
        <f t="shared" si="9"/>
        <v>0.20928295443558886</v>
      </c>
      <c r="J18" s="3">
        <f t="shared" si="9"/>
        <v>0.23489306309511945</v>
      </c>
      <c r="K18" s="3">
        <f t="shared" si="9"/>
        <v>0.2655746653395839</v>
      </c>
      <c r="L18" s="3">
        <f t="shared" si="9"/>
        <v>0.30279461992781093</v>
      </c>
      <c r="M18" s="3">
        <f t="shared" si="9"/>
        <v>0.34861314610480776</v>
      </c>
      <c r="N18" s="3">
        <f t="shared" si="9"/>
        <v>0.40601492337600625</v>
      </c>
      <c r="O18" s="3">
        <f t="shared" si="9"/>
        <v>0.4794957916701626</v>
      </c>
      <c r="P18" s="3">
        <f t="shared" si="9"/>
        <v>0.5761810942543415</v>
      </c>
      <c r="Q18" s="3">
        <f t="shared" si="9"/>
        <v>0.70817565463682286</v>
      </c>
    </row>
    <row r="19" spans="2:2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2:22">
      <c r="B20" s="2"/>
      <c r="C20" s="2"/>
      <c r="D20" s="2"/>
      <c r="E20" s="2"/>
      <c r="F20" s="23" t="s">
        <v>20</v>
      </c>
      <c r="G20" s="21">
        <f>1-((($C$6-1)/($C$6+1))*G21^2)</f>
        <v>0.99458045477195467</v>
      </c>
      <c r="H20" s="21">
        <f t="shared" ref="H20:Q20" si="10">1-((($C$6-1)/($C$6+1))*H21^2)</f>
        <v>0.99341931915365</v>
      </c>
      <c r="I20" s="21">
        <f t="shared" si="10"/>
        <v>0.9919456772772568</v>
      </c>
      <c r="J20" s="21">
        <f t="shared" si="10"/>
        <v>0.99006173263790187</v>
      </c>
      <c r="K20" s="21">
        <f t="shared" si="10"/>
        <v>0.98763782537682798</v>
      </c>
      <c r="L20" s="21">
        <f t="shared" si="10"/>
        <v>0.98450448352575959</v>
      </c>
      <c r="M20" s="21">
        <f t="shared" si="10"/>
        <v>0.98044649404926931</v>
      </c>
      <c r="N20" s="21">
        <f t="shared" si="10"/>
        <v>0.97520514632741628</v>
      </c>
      <c r="O20" s="21">
        <f t="shared" si="10"/>
        <v>0.96850101289061941</v>
      </c>
      <c r="P20" s="21">
        <f t="shared" si="10"/>
        <v>0.96009726236788606</v>
      </c>
      <c r="Q20" s="21">
        <f t="shared" si="10"/>
        <v>0.94992447635796551</v>
      </c>
    </row>
    <row r="21" spans="2:22">
      <c r="B21" s="2"/>
      <c r="C21" s="2"/>
      <c r="D21" s="2"/>
      <c r="E21" s="2"/>
      <c r="F21" s="23" t="s">
        <v>19</v>
      </c>
      <c r="G21" s="21">
        <f>SQRT(((($C$6+1)/2)*G18^2)/(1+2*G18^2))</f>
        <v>0.18032545956761639</v>
      </c>
      <c r="H21" s="21">
        <f t="shared" ref="H21:Q21" si="11">SQRT(((($C$6+1)/2)*H18^2)/(1+2*H18^2))</f>
        <v>0.19870602677850582</v>
      </c>
      <c r="I21" s="21">
        <f t="shared" si="11"/>
        <v>0.21983160904760612</v>
      </c>
      <c r="J21" s="21">
        <f t="shared" si="11"/>
        <v>0.24419173649529768</v>
      </c>
      <c r="K21" s="21">
        <f t="shared" si="11"/>
        <v>0.27234729251276268</v>
      </c>
      <c r="L21" s="21">
        <f t="shared" si="11"/>
        <v>0.30491490426911366</v>
      </c>
      <c r="M21" s="21">
        <f t="shared" si="11"/>
        <v>0.34252158428978452</v>
      </c>
      <c r="N21" s="21">
        <f t="shared" si="11"/>
        <v>0.38570600466612137</v>
      </c>
      <c r="O21" s="21">
        <f t="shared" si="11"/>
        <v>0.43473431272017549</v>
      </c>
      <c r="P21" s="21">
        <f t="shared" si="11"/>
        <v>0.48930197812055076</v>
      </c>
      <c r="Q21" s="21">
        <f t="shared" si="11"/>
        <v>0.5481360614411418</v>
      </c>
    </row>
    <row r="22" spans="2:22">
      <c r="B22" s="2"/>
      <c r="C22" s="2"/>
      <c r="D22" s="2"/>
      <c r="E22" s="2"/>
      <c r="F22" s="23" t="s">
        <v>21</v>
      </c>
      <c r="G22" s="21">
        <f>(1-((($C$6-1)/($C$6+1))*G21^2))^($C$6/($C$6-1))</f>
        <v>0.98115974391492644</v>
      </c>
      <c r="H22" s="21">
        <f t="shared" ref="H22:Q22" si="12">(1-((($C$6-1)/($C$6+1))*H21^2))^($C$6/($C$6-1))</f>
        <v>0.97715645511163363</v>
      </c>
      <c r="I22" s="21">
        <f t="shared" si="12"/>
        <v>0.97209254415227409</v>
      </c>
      <c r="J22" s="21">
        <f t="shared" si="12"/>
        <v>0.96564603473221089</v>
      </c>
      <c r="K22" s="21">
        <f t="shared" si="12"/>
        <v>0.95739686473051655</v>
      </c>
      <c r="L22" s="21">
        <f t="shared" si="12"/>
        <v>0.94680805497932485</v>
      </c>
      <c r="M22" s="21">
        <f t="shared" si="12"/>
        <v>0.93321915102702313</v>
      </c>
      <c r="N22" s="21">
        <f t="shared" si="12"/>
        <v>0.91587445396245137</v>
      </c>
      <c r="O22" s="21">
        <f t="shared" si="12"/>
        <v>0.89402626409814756</v>
      </c>
      <c r="P22" s="21">
        <f t="shared" si="12"/>
        <v>0.86716813263037984</v>
      </c>
      <c r="Q22" s="21">
        <f t="shared" si="12"/>
        <v>0.83543328342092016</v>
      </c>
    </row>
    <row r="23" spans="2:22">
      <c r="B23" s="2"/>
      <c r="C23" s="2"/>
      <c r="D23" s="2"/>
      <c r="E23" s="2"/>
      <c r="F23" s="23" t="s">
        <v>5</v>
      </c>
      <c r="G23" s="21">
        <f>G14/G22</f>
        <v>1.2077544022258093</v>
      </c>
      <c r="H23" s="21">
        <f t="shared" ref="H23:Q23" si="13">H14/H22</f>
        <v>1.2127024222181715</v>
      </c>
      <c r="I23" s="21">
        <f t="shared" si="13"/>
        <v>1.2190197395592564</v>
      </c>
      <c r="J23" s="21">
        <f t="shared" si="13"/>
        <v>1.2271577341780515</v>
      </c>
      <c r="K23" s="21">
        <f t="shared" si="13"/>
        <v>1.2377312310642965</v>
      </c>
      <c r="L23" s="21">
        <f t="shared" si="13"/>
        <v>1.2515736360374294</v>
      </c>
      <c r="M23" s="21">
        <f t="shared" si="13"/>
        <v>1.2697982019506222</v>
      </c>
      <c r="N23" s="21">
        <f t="shared" si="13"/>
        <v>1.2938454554259051</v>
      </c>
      <c r="O23" s="21">
        <f t="shared" si="13"/>
        <v>1.3254644159647517</v>
      </c>
      <c r="P23" s="21">
        <f t="shared" si="13"/>
        <v>1.3665170056532649</v>
      </c>
      <c r="Q23" s="21">
        <f t="shared" si="13"/>
        <v>1.4184256523126288</v>
      </c>
    </row>
    <row r="26" spans="2:22">
      <c r="V26" s="1"/>
    </row>
    <row r="27" spans="2:22">
      <c r="V27" s="1"/>
    </row>
    <row r="28" spans="2:22">
      <c r="N28" s="3"/>
      <c r="O28" s="3">
        <v>0</v>
      </c>
      <c r="P28" s="3">
        <v>2.5000000000000001E-2</v>
      </c>
      <c r="Q28" s="3">
        <v>0.05</v>
      </c>
      <c r="R28" s="3">
        <v>7.4999999999999997E-2</v>
      </c>
      <c r="S28" s="3">
        <v>0.1</v>
      </c>
      <c r="V28" s="1"/>
    </row>
    <row r="29" spans="2:22">
      <c r="N29" s="23" t="s">
        <v>22</v>
      </c>
      <c r="O29" s="3">
        <v>46.31</v>
      </c>
      <c r="P29" s="3">
        <v>58.19</v>
      </c>
      <c r="Q29" s="3">
        <v>80.48</v>
      </c>
      <c r="R29" s="3">
        <v>120.03</v>
      </c>
      <c r="S29" s="3">
        <v>213.26</v>
      </c>
      <c r="V29" s="1"/>
    </row>
    <row r="30" spans="2:22">
      <c r="N30" s="23" t="s">
        <v>23</v>
      </c>
      <c r="O30" s="3">
        <v>133165</v>
      </c>
      <c r="P30" s="3">
        <v>132230</v>
      </c>
      <c r="Q30" s="3">
        <v>129765</v>
      </c>
      <c r="R30" s="3">
        <v>123565</v>
      </c>
      <c r="S30" s="3">
        <v>101336</v>
      </c>
    </row>
    <row r="31" spans="2:22">
      <c r="N31" s="23" t="s">
        <v>24</v>
      </c>
      <c r="O31" s="3">
        <v>1.387</v>
      </c>
      <c r="P31" s="3"/>
      <c r="Q31" s="3"/>
      <c r="R31" s="3"/>
      <c r="S31" s="3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1:V24"/>
  <sheetViews>
    <sheetView topLeftCell="A28" zoomScale="80" zoomScaleNormal="80" workbookViewId="0">
      <selection activeCell="M17" sqref="M17"/>
    </sheetView>
  </sheetViews>
  <sheetFormatPr defaultRowHeight="15"/>
  <cols>
    <col min="7" max="7" width="11.140625" bestFit="1" customWidth="1"/>
  </cols>
  <sheetData>
    <row r="1" spans="2:17">
      <c r="B1" s="2"/>
      <c r="C1" s="2"/>
      <c r="D1" s="2"/>
      <c r="E1" s="2"/>
      <c r="F1" s="3" t="s">
        <v>8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>
      <c r="B2" s="2"/>
      <c r="C2" s="2"/>
      <c r="D2" s="2"/>
      <c r="E2" s="2"/>
      <c r="F2" s="3" t="s">
        <v>9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>
      <c r="B3" s="3" t="s">
        <v>0</v>
      </c>
      <c r="C3" s="3">
        <v>0.1</v>
      </c>
      <c r="D3" s="2"/>
      <c r="E3" s="2"/>
      <c r="F3" s="3" t="s">
        <v>3</v>
      </c>
      <c r="G3" s="6">
        <v>0.08</v>
      </c>
      <c r="H3" s="7">
        <f>G3+($Q$3-$G$3)/10</f>
        <v>7.5999999999999998E-2</v>
      </c>
      <c r="I3" s="7">
        <f t="shared" ref="I3:P3" si="1">H3+($Q$3-$G$3)/10</f>
        <v>7.1999999999999995E-2</v>
      </c>
      <c r="J3" s="7">
        <f t="shared" si="1"/>
        <v>6.7999999999999991E-2</v>
      </c>
      <c r="K3" s="7">
        <f t="shared" si="1"/>
        <v>6.3999999999999987E-2</v>
      </c>
      <c r="L3" s="7">
        <f t="shared" si="1"/>
        <v>5.9999999999999984E-2</v>
      </c>
      <c r="M3" s="7">
        <f t="shared" si="1"/>
        <v>5.599999999999998E-2</v>
      </c>
      <c r="N3" s="7">
        <f t="shared" si="1"/>
        <v>5.1999999999999977E-2</v>
      </c>
      <c r="O3" s="7">
        <f t="shared" si="1"/>
        <v>4.7999999999999973E-2</v>
      </c>
      <c r="P3" s="7">
        <f t="shared" si="1"/>
        <v>4.399999999999997E-2</v>
      </c>
      <c r="Q3" s="6">
        <v>0.04</v>
      </c>
    </row>
    <row r="4" spans="2:17">
      <c r="B4" s="3" t="s">
        <v>1</v>
      </c>
      <c r="C4" s="3">
        <f>C3/10</f>
        <v>0.01</v>
      </c>
      <c r="D4" s="2"/>
      <c r="E4" s="2"/>
      <c r="F4" s="3" t="s">
        <v>10</v>
      </c>
      <c r="G4" s="8">
        <f>(PI()*(2*G3)^2)/4</f>
        <v>2.0106192982974676E-2</v>
      </c>
      <c r="H4" s="8">
        <f t="shared" ref="H4:Q4" si="2">(PI()*(2*H3)^2)/4</f>
        <v>1.8145839167134643E-2</v>
      </c>
      <c r="I4" s="8">
        <f t="shared" si="2"/>
        <v>1.6286016316209486E-2</v>
      </c>
      <c r="J4" s="8">
        <f t="shared" si="2"/>
        <v>1.4526724430199199E-2</v>
      </c>
      <c r="K4" s="8">
        <f t="shared" si="2"/>
        <v>1.2867963509103787E-2</v>
      </c>
      <c r="L4" s="8">
        <f t="shared" si="2"/>
        <v>1.1309733552923249E-2</v>
      </c>
      <c r="M4" s="8">
        <f t="shared" si="2"/>
        <v>9.8520345616575841E-3</v>
      </c>
      <c r="N4" s="8">
        <f t="shared" si="2"/>
        <v>8.4948665353067939E-3</v>
      </c>
      <c r="O4" s="8">
        <f t="shared" si="2"/>
        <v>7.2382294738708754E-3</v>
      </c>
      <c r="P4" s="8">
        <f t="shared" si="2"/>
        <v>6.0821233773498311E-3</v>
      </c>
      <c r="Q4" s="8">
        <f t="shared" si="2"/>
        <v>5.0265482457436689E-3</v>
      </c>
    </row>
    <row r="5" spans="2:17">
      <c r="B5" s="2"/>
      <c r="C5" s="2"/>
      <c r="D5" s="2"/>
      <c r="E5" s="2"/>
      <c r="F5" s="9" t="s">
        <v>11</v>
      </c>
      <c r="G5" s="10">
        <v>41.933062687226695</v>
      </c>
      <c r="H5" s="10">
        <v>46.551386940871602</v>
      </c>
      <c r="I5" s="10">
        <v>51.991442662699896</v>
      </c>
      <c r="J5" s="10">
        <v>58.486335177502596</v>
      </c>
      <c r="K5" s="10">
        <v>66.342073094497692</v>
      </c>
      <c r="L5" s="10">
        <v>75.99585506347006</v>
      </c>
      <c r="M5" s="10">
        <v>88.101272594774684</v>
      </c>
      <c r="N5" s="10">
        <v>103.70025337999361</v>
      </c>
      <c r="O5" s="10">
        <v>124.62615939424906</v>
      </c>
      <c r="P5" s="10">
        <v>154.71264266962615</v>
      </c>
      <c r="Q5" s="10">
        <v>205.86865898669578</v>
      </c>
    </row>
    <row r="6" spans="2:17">
      <c r="B6" s="11" t="s">
        <v>2</v>
      </c>
      <c r="C6" s="11">
        <v>1.4</v>
      </c>
      <c r="D6" s="2"/>
      <c r="E6" s="2"/>
      <c r="F6" s="9" t="s">
        <v>12</v>
      </c>
      <c r="G6" s="10">
        <v>133575.51445170629</v>
      </c>
      <c r="H6" s="10">
        <v>133227.85858173415</v>
      </c>
      <c r="I6" s="10">
        <v>132771.60956635035</v>
      </c>
      <c r="J6" s="10">
        <v>132160.88642409007</v>
      </c>
      <c r="K6" s="10">
        <v>131326.83841130373</v>
      </c>
      <c r="L6" s="10">
        <v>130160.38230722559</v>
      </c>
      <c r="M6" s="10">
        <v>128480.77690377602</v>
      </c>
      <c r="N6" s="10">
        <v>125969.8958123503</v>
      </c>
      <c r="O6" s="10">
        <v>122015.72675961358</v>
      </c>
      <c r="P6" s="10">
        <v>115248.62599135554</v>
      </c>
      <c r="Q6" s="10">
        <v>101325</v>
      </c>
    </row>
    <row r="7" spans="2:17">
      <c r="B7" s="11" t="s">
        <v>3</v>
      </c>
      <c r="C7" s="11">
        <v>286.97199999999998</v>
      </c>
      <c r="D7" s="2"/>
      <c r="E7" s="2"/>
      <c r="F7" s="9" t="s">
        <v>13</v>
      </c>
      <c r="G7" s="12">
        <v>1.6202233645323596</v>
      </c>
      <c r="H7" s="12">
        <v>1.6171515456613619</v>
      </c>
      <c r="I7" s="12">
        <v>1.6131130011710286</v>
      </c>
      <c r="J7" s="12">
        <v>1.6076952220733001</v>
      </c>
      <c r="K7" s="12">
        <v>1.600276374519144</v>
      </c>
      <c r="L7" s="12">
        <v>1.5898655462167672</v>
      </c>
      <c r="M7" s="12">
        <v>1.5748084631441936</v>
      </c>
      <c r="N7" s="12">
        <v>1.5521638367984489</v>
      </c>
      <c r="O7" s="12">
        <v>1.5161934251354421</v>
      </c>
      <c r="P7" s="12">
        <v>1.4537933179322224</v>
      </c>
      <c r="Q7" s="12">
        <v>1.3221024765583353</v>
      </c>
    </row>
    <row r="8" spans="2:17">
      <c r="B8" s="11" t="s">
        <v>4</v>
      </c>
      <c r="C8" s="11">
        <f>C7*(C6/(C6-1))</f>
        <v>1004.402</v>
      </c>
      <c r="D8" s="2"/>
      <c r="E8" s="2"/>
      <c r="F8" s="13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</row>
    <row r="9" spans="2:17">
      <c r="B9" s="2"/>
      <c r="C9" s="2"/>
      <c r="D9" s="2"/>
      <c r="E9" s="2"/>
      <c r="F9" s="3" t="s">
        <v>14</v>
      </c>
      <c r="G9" s="7">
        <f>G4*G7*G12</f>
        <v>1.3660305191040134</v>
      </c>
      <c r="H9" s="7">
        <f>H4*H7*H12</f>
        <v>1.3660276794910102</v>
      </c>
      <c r="I9" s="7">
        <f t="shared" ref="I9:Q9" si="3">I4*I7*I12</f>
        <v>1.3658771086896666</v>
      </c>
      <c r="J9" s="7">
        <f t="shared" si="3"/>
        <v>1.3659242672573835</v>
      </c>
      <c r="K9" s="7">
        <f t="shared" si="3"/>
        <v>1.3661394697588616</v>
      </c>
      <c r="L9" s="7">
        <f t="shared" si="3"/>
        <v>1.366482223242276</v>
      </c>
      <c r="M9" s="7">
        <f t="shared" si="3"/>
        <v>1.3669009817615767</v>
      </c>
      <c r="N9" s="7">
        <f t="shared" si="3"/>
        <v>1.3673348461226706</v>
      </c>
      <c r="O9" s="7">
        <f t="shared" si="3"/>
        <v>1.3677186458786699</v>
      </c>
      <c r="P9" s="7">
        <f t="shared" si="3"/>
        <v>1.3679932839141384</v>
      </c>
      <c r="Q9" s="7">
        <f t="shared" si="3"/>
        <v>1.368123315349423</v>
      </c>
    </row>
    <row r="10" spans="2:17">
      <c r="B10" s="15" t="s">
        <v>5</v>
      </c>
      <c r="C10" s="15">
        <v>135000</v>
      </c>
      <c r="D10" s="2"/>
      <c r="E10" s="2"/>
      <c r="F10" s="3" t="s">
        <v>15</v>
      </c>
      <c r="G10" s="16">
        <f>(G12)*(G9-H9)</f>
        <v>1.1907341824808284E-4</v>
      </c>
      <c r="H10" s="16">
        <f>(H12)*(H9-I9)</f>
        <v>7.00926506492158E-3</v>
      </c>
      <c r="I10" s="16">
        <f t="shared" ref="I10:P10" si="4">(I12)*(I9-J9)</f>
        <v>-2.4518425401874764E-3</v>
      </c>
      <c r="J10" s="16">
        <f t="shared" si="4"/>
        <v>-1.2586428610306932E-2</v>
      </c>
      <c r="K10" s="16">
        <f t="shared" si="4"/>
        <v>-2.273903875499254E-2</v>
      </c>
      <c r="L10" s="16">
        <f t="shared" si="4"/>
        <v>-3.1824007666735953E-2</v>
      </c>
      <c r="M10" s="16">
        <f t="shared" si="4"/>
        <v>-3.8224108576376328E-2</v>
      </c>
      <c r="N10" s="16">
        <f t="shared" si="4"/>
        <v>-3.980021841213343E-2</v>
      </c>
      <c r="O10" s="16">
        <f t="shared" si="4"/>
        <v>-3.4227130838203675E-2</v>
      </c>
      <c r="P10" s="16">
        <f t="shared" si="4"/>
        <v>-2.0117519340003359E-2</v>
      </c>
      <c r="Q10" s="17">
        <v>0</v>
      </c>
    </row>
    <row r="11" spans="2:17">
      <c r="B11" s="15" t="s">
        <v>6</v>
      </c>
      <c r="C11" s="15">
        <v>288.16000000000003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2:17">
      <c r="B12" s="15" t="s">
        <v>12</v>
      </c>
      <c r="C12" s="15">
        <v>101325</v>
      </c>
      <c r="D12" s="2"/>
      <c r="E12" s="2"/>
      <c r="F12" s="3" t="s">
        <v>11</v>
      </c>
      <c r="G12" s="18">
        <f>(H4*H5*H7)/(G4*G7)</f>
        <v>41.932974005512754</v>
      </c>
      <c r="H12" s="5">
        <f>((G6-H6)/H7+G5*H5)^0.5</f>
        <v>46.551290172957685</v>
      </c>
      <c r="I12" s="5">
        <f t="shared" ref="I12:Q12" si="5">((H6-I6)/I7+H5*I5)^0.5</f>
        <v>51.991454764022336</v>
      </c>
      <c r="J12" s="5">
        <f t="shared" si="5"/>
        <v>58.486441950524409</v>
      </c>
      <c r="K12" s="5">
        <f t="shared" si="5"/>
        <v>66.342254288633356</v>
      </c>
      <c r="L12" s="5">
        <f t="shared" si="5"/>
        <v>75.9960841390822</v>
      </c>
      <c r="M12" s="5">
        <f t="shared" si="5"/>
        <v>88.101517441991973</v>
      </c>
      <c r="N12" s="5">
        <f t="shared" si="5"/>
        <v>103.70047867412852</v>
      </c>
      <c r="O12" s="5">
        <f t="shared" si="5"/>
        <v>124.62633145408277</v>
      </c>
      <c r="P12" s="5">
        <f t="shared" si="5"/>
        <v>154.71273770052707</v>
      </c>
      <c r="Q12" s="5">
        <f t="shared" si="5"/>
        <v>205.86867532760903</v>
      </c>
    </row>
    <row r="13" spans="2:17">
      <c r="B13" s="2"/>
      <c r="C13" s="2"/>
      <c r="D13" s="2"/>
      <c r="E13" s="2"/>
      <c r="F13" s="3" t="s">
        <v>12</v>
      </c>
      <c r="G13" s="19">
        <f>C10-(G7*G12^2)/2</f>
        <v>133575.5204305253</v>
      </c>
      <c r="H13" s="4">
        <f>H6+H10</f>
        <v>133227.86559099922</v>
      </c>
      <c r="I13" s="4">
        <f t="shared" ref="I13:P13" si="6">I6+I10</f>
        <v>132771.60711450782</v>
      </c>
      <c r="J13" s="4">
        <f t="shared" si="6"/>
        <v>132160.87383766146</v>
      </c>
      <c r="K13" s="4">
        <f t="shared" si="6"/>
        <v>131326.81567226499</v>
      </c>
      <c r="L13" s="4">
        <f t="shared" si="6"/>
        <v>130160.35048321792</v>
      </c>
      <c r="M13" s="4">
        <f t="shared" si="6"/>
        <v>128480.73867966744</v>
      </c>
      <c r="N13" s="4">
        <f t="shared" si="6"/>
        <v>125969.85601213189</v>
      </c>
      <c r="O13" s="4">
        <f t="shared" si="6"/>
        <v>122015.69253248275</v>
      </c>
      <c r="P13" s="4">
        <f t="shared" si="6"/>
        <v>115248.6058738362</v>
      </c>
      <c r="Q13" s="19">
        <f>Q6+Q10</f>
        <v>101325</v>
      </c>
    </row>
    <row r="14" spans="2:17">
      <c r="B14" s="20" t="s">
        <v>7</v>
      </c>
      <c r="C14" s="20">
        <v>2100</v>
      </c>
      <c r="D14" s="2">
        <v>2100</v>
      </c>
      <c r="E14" s="2"/>
      <c r="F14" s="3" t="s">
        <v>13</v>
      </c>
      <c r="G14" s="7">
        <f>G13/($C$7*G16)</f>
        <v>1.6202234161726006</v>
      </c>
      <c r="H14" s="7">
        <f t="shared" ref="H14:Q14" si="7">H13/($C$7*H16)</f>
        <v>1.6171516054775055</v>
      </c>
      <c r="I14" s="7">
        <f t="shared" si="7"/>
        <v>1.6131129749053561</v>
      </c>
      <c r="J14" s="7">
        <f t="shared" si="7"/>
        <v>1.6076951038575533</v>
      </c>
      <c r="K14" s="7">
        <f t="shared" si="7"/>
        <v>1.6002761644071399</v>
      </c>
      <c r="L14" s="7">
        <f t="shared" si="7"/>
        <v>1.589865254089625</v>
      </c>
      <c r="M14" s="7">
        <f t="shared" si="7"/>
        <v>1.5748081135926431</v>
      </c>
      <c r="N14" s="7">
        <f t="shared" si="7"/>
        <v>1.5521634740564856</v>
      </c>
      <c r="O14" s="7">
        <f t="shared" si="7"/>
        <v>1.5161931152506469</v>
      </c>
      <c r="P14" s="7">
        <f t="shared" si="7"/>
        <v>1.4537931411973446</v>
      </c>
      <c r="Q14" s="7">
        <f t="shared" si="7"/>
        <v>1.3221024931393905</v>
      </c>
    </row>
    <row r="15" spans="2:17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>
      <c r="B16" s="2"/>
      <c r="C16" s="2"/>
      <c r="D16" s="2"/>
      <c r="E16" s="2"/>
      <c r="F16" s="3" t="s">
        <v>16</v>
      </c>
      <c r="G16" s="3">
        <f>$C$11-(G12^2)/(2*$C$8)</f>
        <v>287.28466606550614</v>
      </c>
      <c r="H16" s="3">
        <f t="shared" ref="H16:Q16" si="8">$C$11-(H12^2)/(2*$C$8)</f>
        <v>287.0812374045617</v>
      </c>
      <c r="I16" s="3">
        <f t="shared" si="8"/>
        <v>286.81436778875423</v>
      </c>
      <c r="J16" s="3">
        <f t="shared" si="8"/>
        <v>286.45716393832748</v>
      </c>
      <c r="K16" s="3">
        <f t="shared" si="8"/>
        <v>285.96899744121492</v>
      </c>
      <c r="L16" s="3">
        <f t="shared" si="8"/>
        <v>285.28495355222589</v>
      </c>
      <c r="M16" s="3">
        <f t="shared" si="8"/>
        <v>284.29607033061387</v>
      </c>
      <c r="N16" s="3">
        <f t="shared" si="8"/>
        <v>282.80667071688259</v>
      </c>
      <c r="O16" s="3">
        <f t="shared" si="8"/>
        <v>280.42817425109524</v>
      </c>
      <c r="P16" s="3">
        <f t="shared" si="8"/>
        <v>276.24443670622321</v>
      </c>
      <c r="Q16" s="3">
        <f t="shared" si="8"/>
        <v>267.06191801631996</v>
      </c>
    </row>
    <row r="17" spans="2:22">
      <c r="B17" s="2"/>
      <c r="C17" s="2"/>
      <c r="D17" s="2"/>
      <c r="E17" s="2"/>
      <c r="F17" s="3" t="s">
        <v>17</v>
      </c>
      <c r="G17" s="3">
        <f>SQRT($C$6*$C$7*G16)</f>
        <v>339.73477488507206</v>
      </c>
      <c r="H17" s="3">
        <f t="shared" ref="H17:Q17" si="9">SQRT($C$6*$C$7*H16)</f>
        <v>339.61446907434117</v>
      </c>
      <c r="I17" s="3">
        <f t="shared" si="9"/>
        <v>339.4565802194798</v>
      </c>
      <c r="J17" s="3">
        <f t="shared" si="9"/>
        <v>339.24513165201586</v>
      </c>
      <c r="K17" s="3">
        <f t="shared" si="9"/>
        <v>338.95594579116096</v>
      </c>
      <c r="L17" s="3">
        <f t="shared" si="9"/>
        <v>338.55030817753675</v>
      </c>
      <c r="M17" s="3">
        <f t="shared" si="9"/>
        <v>337.96304036519092</v>
      </c>
      <c r="N17" s="3">
        <f t="shared" si="9"/>
        <v>337.07660000740384</v>
      </c>
      <c r="O17" s="3">
        <f t="shared" si="9"/>
        <v>335.65614493058132</v>
      </c>
      <c r="P17" s="3">
        <f t="shared" si="9"/>
        <v>333.14289109425943</v>
      </c>
      <c r="Q17" s="3">
        <f t="shared" si="9"/>
        <v>327.55916997051253</v>
      </c>
    </row>
    <row r="18" spans="2:22">
      <c r="B18" s="2"/>
      <c r="C18" s="2"/>
      <c r="D18" s="2"/>
      <c r="E18" s="2"/>
      <c r="F18" s="3" t="s">
        <v>18</v>
      </c>
      <c r="G18" s="3">
        <f>G12/G17</f>
        <v>0.12342855988086043</v>
      </c>
      <c r="H18" s="3">
        <f t="shared" ref="H18:Q18" si="10">H12/H17</f>
        <v>0.1370709861091568</v>
      </c>
      <c r="I18" s="3">
        <f t="shared" si="10"/>
        <v>0.15316083939338171</v>
      </c>
      <c r="J18" s="3">
        <f t="shared" si="10"/>
        <v>0.17240171337378976</v>
      </c>
      <c r="K18" s="3">
        <f t="shared" si="10"/>
        <v>0.19572530033005658</v>
      </c>
      <c r="L18" s="3">
        <f t="shared" si="10"/>
        <v>0.22447501096123545</v>
      </c>
      <c r="M18" s="3">
        <f t="shared" si="10"/>
        <v>0.26068388231681366</v>
      </c>
      <c r="N18" s="3">
        <f t="shared" si="10"/>
        <v>0.30764662593562042</v>
      </c>
      <c r="O18" s="3">
        <f t="shared" si="10"/>
        <v>0.37129167255334278</v>
      </c>
      <c r="P18" s="3">
        <f t="shared" si="10"/>
        <v>0.46440353925112771</v>
      </c>
      <c r="Q18" s="3">
        <f t="shared" si="10"/>
        <v>0.62849309132802389</v>
      </c>
    </row>
    <row r="21" spans="2:22">
      <c r="P21" s="3"/>
      <c r="Q21" s="3">
        <v>0</v>
      </c>
      <c r="R21" s="3">
        <v>2.5000000000000001E-2</v>
      </c>
      <c r="S21" s="3">
        <v>0.05</v>
      </c>
      <c r="T21" s="3">
        <v>7.4999999999999997E-2</v>
      </c>
      <c r="U21" s="3">
        <v>0.1</v>
      </c>
      <c r="V21" s="3"/>
    </row>
    <row r="22" spans="2:22">
      <c r="P22" s="3" t="s">
        <v>22</v>
      </c>
      <c r="Q22" s="3">
        <v>46.31</v>
      </c>
      <c r="R22" s="3">
        <v>58.19</v>
      </c>
      <c r="S22" s="3">
        <v>80.48</v>
      </c>
      <c r="T22" s="3">
        <v>120.03</v>
      </c>
      <c r="U22" s="3">
        <v>213.26</v>
      </c>
      <c r="V22" s="3"/>
    </row>
    <row r="23" spans="2:22">
      <c r="P23" s="3" t="s">
        <v>23</v>
      </c>
      <c r="Q23" s="3">
        <v>133165</v>
      </c>
      <c r="R23" s="3">
        <v>132230</v>
      </c>
      <c r="S23" s="3">
        <v>129765</v>
      </c>
      <c r="T23" s="3">
        <v>123565</v>
      </c>
      <c r="U23" s="3">
        <v>101336</v>
      </c>
      <c r="V23" s="3"/>
    </row>
    <row r="24" spans="2:22">
      <c r="P24" s="3" t="s">
        <v>24</v>
      </c>
      <c r="Q24" s="3">
        <v>1.387</v>
      </c>
      <c r="R24" s="3"/>
      <c r="S24" s="3"/>
      <c r="T24" s="3"/>
      <c r="U24" s="3"/>
      <c r="V24" s="3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ro=const</vt:lpstr>
      <vt:lpstr>ro=var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Даня</dc:creator>
  <cp:lastModifiedBy>Админ</cp:lastModifiedBy>
  <dcterms:created xsi:type="dcterms:W3CDTF">2021-05-18T04:26:27Z</dcterms:created>
  <dcterms:modified xsi:type="dcterms:W3CDTF">2021-05-24T13:28:56Z</dcterms:modified>
</cp:coreProperties>
</file>